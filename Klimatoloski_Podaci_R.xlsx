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tharambasic\Desktop\Modeli i programi\R\"/>
    </mc:Choice>
  </mc:AlternateContent>
  <xr:revisionPtr revIDLastSave="0" documentId="13_ncr:1_{FFAE71F9-5425-4C24-B630-B6EAC5FFA57D}" xr6:coauthVersionLast="47" xr6:coauthVersionMax="47" xr10:uidLastSave="{00000000-0000-0000-0000-000000000000}"/>
  <bookViews>
    <workbookView xWindow="-120" yWindow="-120" windowWidth="29040" windowHeight="15720" tabRatio="801" xr2:uid="{00000000-000D-0000-FFFF-FFFF00000000}"/>
  </bookViews>
  <sheets>
    <sheet name="MjesecneTemp" sheetId="37" r:id="rId1"/>
    <sheet name="MjesecneObo" sheetId="38" r:id="rId2"/>
    <sheet name="Bjelovar" sheetId="2" r:id="rId3"/>
    <sheet name="Daruvar" sheetId="3" r:id="rId4"/>
    <sheet name="Dubrovnik" sheetId="4" r:id="rId5"/>
    <sheet name="Gospić" sheetId="5" r:id="rId6"/>
    <sheet name="Hvar" sheetId="6" r:id="rId7"/>
    <sheet name="Karlovac" sheetId="7" r:id="rId8"/>
    <sheet name="Knin" sheetId="8" r:id="rId9"/>
    <sheet name="Komiža" sheetId="9" r:id="rId10"/>
    <sheet name="Makarska" sheetId="10" r:id="rId11"/>
    <sheet name="Mali Lošinj" sheetId="11" r:id="rId12"/>
    <sheet name="Ogulin" sheetId="12" r:id="rId13"/>
    <sheet name="Osijek" sheetId="13" r:id="rId14"/>
    <sheet name="Parg" sheetId="14" r:id="rId15"/>
    <sheet name="Pazin" sheetId="15" r:id="rId16"/>
    <sheet name="Ploče" sheetId="16" r:id="rId17"/>
    <sheet name="Pula" sheetId="17" r:id="rId18"/>
    <sheet name="Puntijarka" sheetId="18" r:id="rId19"/>
    <sheet name="Rab" sheetId="19" r:id="rId20"/>
    <sheet name="Rijeka" sheetId="20" r:id="rId21"/>
    <sheet name="Senj" sheetId="21" r:id="rId22"/>
    <sheet name="Sisak" sheetId="22" r:id="rId23"/>
    <sheet name="Slavonski Brod" sheetId="23" r:id="rId24"/>
    <sheet name="Split" sheetId="24" r:id="rId25"/>
    <sheet name="Šibenik" sheetId="25" r:id="rId26"/>
    <sheet name="Varaždin" sheetId="26" r:id="rId27"/>
    <sheet name="Zadar" sheetId="27" r:id="rId28"/>
    <sheet name="Zagreb Grič" sheetId="28" r:id="rId29"/>
    <sheet name="Zagreb Maksimir" sheetId="29" r:id="rId30"/>
    <sheet name="Zavižan" sheetId="30" r:id="rId31"/>
    <sheet name="Snijeg" sheetId="32" r:id="rId32"/>
    <sheet name="Relativna vlažnost" sheetId="33" r:id="rId33"/>
    <sheet name="Naoblaka" sheetId="36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7" l="1"/>
  <c r="AB6" i="5"/>
  <c r="AB7" i="5"/>
  <c r="AB8" i="5"/>
  <c r="AB9" i="5"/>
  <c r="AB10" i="5"/>
  <c r="AB11" i="5"/>
  <c r="AB12" i="5"/>
  <c r="AB35" i="5" s="1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5" i="5"/>
  <c r="P2" i="11"/>
  <c r="S2" i="4"/>
  <c r="AA2" i="30"/>
  <c r="Z2" i="30"/>
  <c r="Y2" i="30"/>
  <c r="X2" i="30"/>
  <c r="W2" i="30"/>
  <c r="V2" i="30"/>
  <c r="U2" i="30"/>
  <c r="T2" i="30"/>
  <c r="S2" i="30"/>
  <c r="R2" i="30"/>
  <c r="Q2" i="30"/>
  <c r="P2" i="30"/>
  <c r="M2" i="30"/>
  <c r="L2" i="30"/>
  <c r="K2" i="30"/>
  <c r="J2" i="30"/>
  <c r="I2" i="30"/>
  <c r="H2" i="30"/>
  <c r="G2" i="30"/>
  <c r="F2" i="30"/>
  <c r="E2" i="30"/>
  <c r="D2" i="30"/>
  <c r="C2" i="30"/>
  <c r="B2" i="30"/>
  <c r="AA2" i="29"/>
  <c r="Z2" i="29"/>
  <c r="Y2" i="29"/>
  <c r="X2" i="29"/>
  <c r="W2" i="29"/>
  <c r="V2" i="29"/>
  <c r="U2" i="29"/>
  <c r="T2" i="29"/>
  <c r="S2" i="29"/>
  <c r="R2" i="29"/>
  <c r="Q2" i="29"/>
  <c r="P2" i="29"/>
  <c r="M2" i="29"/>
  <c r="L2" i="29"/>
  <c r="K2" i="29"/>
  <c r="J2" i="29"/>
  <c r="I2" i="29"/>
  <c r="H2" i="29"/>
  <c r="G2" i="29"/>
  <c r="F2" i="29"/>
  <c r="E2" i="29"/>
  <c r="D2" i="29"/>
  <c r="C2" i="29"/>
  <c r="B2" i="29"/>
  <c r="AA2" i="28"/>
  <c r="Z2" i="28"/>
  <c r="Y2" i="28"/>
  <c r="X2" i="28"/>
  <c r="W2" i="28"/>
  <c r="V2" i="28"/>
  <c r="U2" i="28"/>
  <c r="T2" i="28"/>
  <c r="S2" i="28"/>
  <c r="R2" i="28"/>
  <c r="Q2" i="28"/>
  <c r="P2" i="28"/>
  <c r="M2" i="28"/>
  <c r="L2" i="28"/>
  <c r="K2" i="28"/>
  <c r="J2" i="28"/>
  <c r="I2" i="28"/>
  <c r="H2" i="28"/>
  <c r="G2" i="28"/>
  <c r="F2" i="28"/>
  <c r="E2" i="28"/>
  <c r="D2" i="28"/>
  <c r="C2" i="28"/>
  <c r="B2" i="28"/>
  <c r="AA2" i="27"/>
  <c r="Z2" i="27"/>
  <c r="Y2" i="27"/>
  <c r="X2" i="27"/>
  <c r="W2" i="27"/>
  <c r="V2" i="27"/>
  <c r="U2" i="27"/>
  <c r="T2" i="27"/>
  <c r="S2" i="27"/>
  <c r="R2" i="27"/>
  <c r="Q2" i="27"/>
  <c r="P2" i="27"/>
  <c r="M2" i="27"/>
  <c r="L2" i="27"/>
  <c r="K2" i="27"/>
  <c r="J2" i="27"/>
  <c r="I2" i="27"/>
  <c r="H2" i="27"/>
  <c r="G2" i="27"/>
  <c r="F2" i="27"/>
  <c r="E2" i="27"/>
  <c r="D2" i="27"/>
  <c r="C2" i="27"/>
  <c r="B2" i="27"/>
  <c r="AA2" i="26"/>
  <c r="Z2" i="26"/>
  <c r="Y2" i="26"/>
  <c r="X2" i="26"/>
  <c r="W2" i="26"/>
  <c r="V2" i="26"/>
  <c r="U2" i="26"/>
  <c r="T2" i="26"/>
  <c r="S2" i="26"/>
  <c r="R2" i="26"/>
  <c r="Q2" i="26"/>
  <c r="P2" i="26"/>
  <c r="M2" i="26"/>
  <c r="L2" i="26"/>
  <c r="K2" i="26"/>
  <c r="J2" i="26"/>
  <c r="I2" i="26"/>
  <c r="H2" i="26"/>
  <c r="G2" i="26"/>
  <c r="F2" i="26"/>
  <c r="E2" i="26"/>
  <c r="D2" i="26"/>
  <c r="C2" i="26"/>
  <c r="B2" i="26"/>
  <c r="AA2" i="25"/>
  <c r="Z2" i="25"/>
  <c r="Y2" i="25"/>
  <c r="X2" i="25"/>
  <c r="W2" i="25"/>
  <c r="V2" i="25"/>
  <c r="U2" i="25"/>
  <c r="T2" i="25"/>
  <c r="S2" i="25"/>
  <c r="R2" i="25"/>
  <c r="Q2" i="25"/>
  <c r="P2" i="25"/>
  <c r="M2" i="25"/>
  <c r="L2" i="25"/>
  <c r="K2" i="25"/>
  <c r="J2" i="25"/>
  <c r="I2" i="25"/>
  <c r="H2" i="25"/>
  <c r="G2" i="25"/>
  <c r="F2" i="25"/>
  <c r="E2" i="25"/>
  <c r="D2" i="25"/>
  <c r="C2" i="25"/>
  <c r="B2" i="25"/>
  <c r="AA2" i="24"/>
  <c r="Z2" i="24"/>
  <c r="Y2" i="24"/>
  <c r="X2" i="24"/>
  <c r="W2" i="24"/>
  <c r="V2" i="24"/>
  <c r="U2" i="24"/>
  <c r="T2" i="24"/>
  <c r="S2" i="24"/>
  <c r="R2" i="24"/>
  <c r="Q2" i="24"/>
  <c r="P2" i="24"/>
  <c r="M2" i="24"/>
  <c r="L2" i="24"/>
  <c r="K2" i="24"/>
  <c r="J2" i="24"/>
  <c r="I2" i="24"/>
  <c r="H2" i="24"/>
  <c r="G2" i="24"/>
  <c r="F2" i="24"/>
  <c r="E2" i="24"/>
  <c r="D2" i="24"/>
  <c r="C2" i="24"/>
  <c r="B2" i="24"/>
  <c r="AA2" i="23"/>
  <c r="Z2" i="23"/>
  <c r="Y2" i="23"/>
  <c r="X2" i="23"/>
  <c r="W2" i="23"/>
  <c r="V2" i="23"/>
  <c r="U2" i="23"/>
  <c r="T2" i="23"/>
  <c r="S2" i="23"/>
  <c r="R2" i="23"/>
  <c r="Q2" i="23"/>
  <c r="P2" i="23"/>
  <c r="M2" i="23"/>
  <c r="L2" i="23"/>
  <c r="K2" i="23"/>
  <c r="J2" i="23"/>
  <c r="I2" i="23"/>
  <c r="H2" i="23"/>
  <c r="G2" i="23"/>
  <c r="F2" i="23"/>
  <c r="E2" i="23"/>
  <c r="D2" i="23"/>
  <c r="C2" i="23"/>
  <c r="B2" i="23"/>
  <c r="AA2" i="22"/>
  <c r="Z2" i="22"/>
  <c r="Y2" i="22"/>
  <c r="X2" i="22"/>
  <c r="W2" i="22"/>
  <c r="V2" i="22"/>
  <c r="U2" i="22"/>
  <c r="T2" i="22"/>
  <c r="S2" i="22"/>
  <c r="R2" i="22"/>
  <c r="Q2" i="22"/>
  <c r="P2" i="22"/>
  <c r="M2" i="22"/>
  <c r="L2" i="22"/>
  <c r="K2" i="22"/>
  <c r="J2" i="22"/>
  <c r="I2" i="22"/>
  <c r="H2" i="22"/>
  <c r="G2" i="22"/>
  <c r="F2" i="22"/>
  <c r="E2" i="22"/>
  <c r="D2" i="22"/>
  <c r="C2" i="22"/>
  <c r="B2" i="22"/>
  <c r="AA2" i="21"/>
  <c r="Z2" i="21"/>
  <c r="Y2" i="21"/>
  <c r="X2" i="21"/>
  <c r="W2" i="21"/>
  <c r="V2" i="21"/>
  <c r="U2" i="21"/>
  <c r="T2" i="21"/>
  <c r="S2" i="21"/>
  <c r="R2" i="21"/>
  <c r="Q2" i="21"/>
  <c r="P2" i="21"/>
  <c r="M2" i="21"/>
  <c r="L2" i="21"/>
  <c r="K2" i="21"/>
  <c r="J2" i="21"/>
  <c r="I2" i="21"/>
  <c r="H2" i="21"/>
  <c r="G2" i="21"/>
  <c r="F2" i="21"/>
  <c r="E2" i="21"/>
  <c r="D2" i="21"/>
  <c r="C2" i="21"/>
  <c r="B2" i="21"/>
  <c r="AA2" i="20"/>
  <c r="Z2" i="20"/>
  <c r="Y2" i="20"/>
  <c r="X2" i="20"/>
  <c r="W2" i="20"/>
  <c r="V2" i="20"/>
  <c r="U2" i="20"/>
  <c r="T2" i="20"/>
  <c r="S2" i="20"/>
  <c r="R2" i="20"/>
  <c r="Q2" i="20"/>
  <c r="P2" i="20"/>
  <c r="M2" i="20"/>
  <c r="L2" i="20"/>
  <c r="K2" i="20"/>
  <c r="J2" i="20"/>
  <c r="I2" i="20"/>
  <c r="H2" i="20"/>
  <c r="G2" i="20"/>
  <c r="F2" i="20"/>
  <c r="E2" i="20"/>
  <c r="D2" i="20"/>
  <c r="C2" i="20"/>
  <c r="B2" i="20"/>
  <c r="AA2" i="19"/>
  <c r="Z2" i="19"/>
  <c r="Y2" i="19"/>
  <c r="X2" i="19"/>
  <c r="W2" i="19"/>
  <c r="V2" i="19"/>
  <c r="U2" i="19"/>
  <c r="T2" i="19"/>
  <c r="S2" i="19"/>
  <c r="R2" i="19"/>
  <c r="Q2" i="19"/>
  <c r="P2" i="19"/>
  <c r="M2" i="19"/>
  <c r="L2" i="19"/>
  <c r="K2" i="19"/>
  <c r="J2" i="19"/>
  <c r="I2" i="19"/>
  <c r="H2" i="19"/>
  <c r="G2" i="19"/>
  <c r="F2" i="19"/>
  <c r="E2" i="19"/>
  <c r="D2" i="19"/>
  <c r="C2" i="19"/>
  <c r="B2" i="19"/>
  <c r="AA2" i="18"/>
  <c r="Z2" i="18"/>
  <c r="Y2" i="18"/>
  <c r="X2" i="18"/>
  <c r="W2" i="18"/>
  <c r="V2" i="18"/>
  <c r="U2" i="18"/>
  <c r="T2" i="18"/>
  <c r="S2" i="18"/>
  <c r="R2" i="18"/>
  <c r="Q2" i="18"/>
  <c r="P2" i="18"/>
  <c r="M2" i="18"/>
  <c r="L2" i="18"/>
  <c r="K2" i="18"/>
  <c r="J2" i="18"/>
  <c r="I2" i="18"/>
  <c r="H2" i="18"/>
  <c r="G2" i="18"/>
  <c r="F2" i="18"/>
  <c r="E2" i="18"/>
  <c r="D2" i="18"/>
  <c r="C2" i="18"/>
  <c r="B2" i="18"/>
  <c r="AA2" i="17"/>
  <c r="Z2" i="17"/>
  <c r="Y2" i="17"/>
  <c r="X2" i="17"/>
  <c r="W2" i="17"/>
  <c r="V2" i="17"/>
  <c r="U2" i="17"/>
  <c r="T2" i="17"/>
  <c r="S2" i="17"/>
  <c r="R2" i="17"/>
  <c r="Q2" i="17"/>
  <c r="P2" i="17"/>
  <c r="M2" i="17"/>
  <c r="L2" i="17"/>
  <c r="K2" i="17"/>
  <c r="J2" i="17"/>
  <c r="I2" i="17"/>
  <c r="H2" i="17"/>
  <c r="G2" i="17"/>
  <c r="F2" i="17"/>
  <c r="E2" i="17"/>
  <c r="D2" i="17"/>
  <c r="C2" i="17"/>
  <c r="AA2" i="16"/>
  <c r="Z2" i="16"/>
  <c r="Y2" i="16"/>
  <c r="X2" i="16"/>
  <c r="W2" i="16"/>
  <c r="V2" i="16"/>
  <c r="U2" i="16"/>
  <c r="T2" i="16"/>
  <c r="S2" i="16"/>
  <c r="R2" i="16"/>
  <c r="Q2" i="16"/>
  <c r="P2" i="16"/>
  <c r="M2" i="16"/>
  <c r="L2" i="16"/>
  <c r="K2" i="16"/>
  <c r="J2" i="16"/>
  <c r="I2" i="16"/>
  <c r="H2" i="16"/>
  <c r="G2" i="16"/>
  <c r="F2" i="16"/>
  <c r="E2" i="16"/>
  <c r="D2" i="16"/>
  <c r="C2" i="16"/>
  <c r="B2" i="16"/>
  <c r="AA2" i="15"/>
  <c r="Z2" i="15"/>
  <c r="Y2" i="15"/>
  <c r="X2" i="15"/>
  <c r="W2" i="15"/>
  <c r="V2" i="15"/>
  <c r="U2" i="15"/>
  <c r="T2" i="15"/>
  <c r="S2" i="15"/>
  <c r="R2" i="15"/>
  <c r="Q2" i="15"/>
  <c r="P2" i="15"/>
  <c r="M2" i="15"/>
  <c r="L2" i="15"/>
  <c r="K2" i="15"/>
  <c r="J2" i="15"/>
  <c r="I2" i="15"/>
  <c r="H2" i="15"/>
  <c r="G2" i="15"/>
  <c r="F2" i="15"/>
  <c r="E2" i="15"/>
  <c r="D2" i="15"/>
  <c r="C2" i="15"/>
  <c r="B2" i="15"/>
  <c r="AA2" i="14"/>
  <c r="Z2" i="14"/>
  <c r="Y2" i="14"/>
  <c r="X2" i="14"/>
  <c r="W2" i="14"/>
  <c r="V2" i="14"/>
  <c r="U2" i="14"/>
  <c r="T2" i="14"/>
  <c r="S2" i="14"/>
  <c r="R2" i="14"/>
  <c r="Q2" i="14"/>
  <c r="P2" i="14"/>
  <c r="M2" i="14"/>
  <c r="L2" i="14"/>
  <c r="K2" i="14"/>
  <c r="J2" i="14"/>
  <c r="I2" i="14"/>
  <c r="H2" i="14"/>
  <c r="G2" i="14"/>
  <c r="F2" i="14"/>
  <c r="E2" i="14"/>
  <c r="D2" i="14"/>
  <c r="C2" i="14"/>
  <c r="B2" i="14"/>
  <c r="AA2" i="13"/>
  <c r="Z2" i="13"/>
  <c r="Y2" i="13"/>
  <c r="X2" i="13"/>
  <c r="W2" i="13"/>
  <c r="V2" i="13"/>
  <c r="U2" i="13"/>
  <c r="T2" i="13"/>
  <c r="S2" i="13"/>
  <c r="R2" i="13"/>
  <c r="Q2" i="13"/>
  <c r="P2" i="13"/>
  <c r="M2" i="13"/>
  <c r="L2" i="13"/>
  <c r="K2" i="13"/>
  <c r="J2" i="13"/>
  <c r="I2" i="13"/>
  <c r="H2" i="13"/>
  <c r="G2" i="13"/>
  <c r="F2" i="13"/>
  <c r="E2" i="13"/>
  <c r="D2" i="13"/>
  <c r="C2" i="13"/>
  <c r="B2" i="13"/>
  <c r="AA2" i="12"/>
  <c r="Z2" i="12"/>
  <c r="Y2" i="12"/>
  <c r="X2" i="12"/>
  <c r="W2" i="12"/>
  <c r="V2" i="12"/>
  <c r="U2" i="12"/>
  <c r="T2" i="12"/>
  <c r="S2" i="12"/>
  <c r="R2" i="12"/>
  <c r="Q2" i="12"/>
  <c r="P2" i="12"/>
  <c r="M2" i="12"/>
  <c r="L2" i="12"/>
  <c r="K2" i="12"/>
  <c r="J2" i="12"/>
  <c r="I2" i="12"/>
  <c r="H2" i="12"/>
  <c r="G2" i="12"/>
  <c r="F2" i="12"/>
  <c r="E2" i="12"/>
  <c r="D2" i="12"/>
  <c r="C2" i="12"/>
  <c r="B2" i="12"/>
  <c r="AA2" i="11"/>
  <c r="Z2" i="11"/>
  <c r="Y2" i="11"/>
  <c r="X2" i="11"/>
  <c r="W2" i="11"/>
  <c r="V2" i="11"/>
  <c r="U2" i="11"/>
  <c r="T2" i="11"/>
  <c r="S2" i="11"/>
  <c r="R2" i="11"/>
  <c r="Q2" i="11"/>
  <c r="M2" i="11"/>
  <c r="L2" i="11"/>
  <c r="K2" i="11"/>
  <c r="J2" i="11"/>
  <c r="I2" i="11"/>
  <c r="H2" i="11"/>
  <c r="G2" i="11"/>
  <c r="F2" i="11"/>
  <c r="E2" i="11"/>
  <c r="D2" i="11"/>
  <c r="C2" i="11"/>
  <c r="B2" i="11"/>
  <c r="AA2" i="10"/>
  <c r="Z2" i="10"/>
  <c r="Y2" i="10"/>
  <c r="X2" i="10"/>
  <c r="W2" i="10"/>
  <c r="V2" i="10"/>
  <c r="U2" i="10"/>
  <c r="T2" i="10"/>
  <c r="S2" i="10"/>
  <c r="R2" i="10"/>
  <c r="Q2" i="10"/>
  <c r="P2" i="10"/>
  <c r="M2" i="10"/>
  <c r="L2" i="10"/>
  <c r="K2" i="10"/>
  <c r="J2" i="10"/>
  <c r="I2" i="10"/>
  <c r="H2" i="10"/>
  <c r="G2" i="10"/>
  <c r="F2" i="10"/>
  <c r="E2" i="10"/>
  <c r="D2" i="10"/>
  <c r="C2" i="10"/>
  <c r="B2" i="10"/>
  <c r="AA2" i="9"/>
  <c r="Z2" i="9"/>
  <c r="Y2" i="9"/>
  <c r="X2" i="9"/>
  <c r="W2" i="9"/>
  <c r="V2" i="9"/>
  <c r="U2" i="9"/>
  <c r="T2" i="9"/>
  <c r="S2" i="9"/>
  <c r="R2" i="9"/>
  <c r="Q2" i="9"/>
  <c r="P2" i="9"/>
  <c r="M2" i="9"/>
  <c r="L2" i="9"/>
  <c r="K2" i="9"/>
  <c r="J2" i="9"/>
  <c r="I2" i="9"/>
  <c r="H2" i="9"/>
  <c r="G2" i="9"/>
  <c r="F2" i="9"/>
  <c r="E2" i="9"/>
  <c r="D2" i="9"/>
  <c r="C2" i="9"/>
  <c r="B2" i="9"/>
  <c r="AA2" i="8"/>
  <c r="Z2" i="8"/>
  <c r="Y2" i="8"/>
  <c r="X2" i="8"/>
  <c r="W2" i="8"/>
  <c r="V2" i="8"/>
  <c r="U2" i="8"/>
  <c r="T2" i="8"/>
  <c r="S2" i="8"/>
  <c r="R2" i="8"/>
  <c r="Q2" i="8"/>
  <c r="P2" i="8"/>
  <c r="M2" i="8"/>
  <c r="L2" i="8"/>
  <c r="K2" i="8"/>
  <c r="J2" i="8"/>
  <c r="I2" i="8"/>
  <c r="H2" i="8"/>
  <c r="G2" i="8"/>
  <c r="F2" i="8"/>
  <c r="E2" i="8"/>
  <c r="D2" i="8"/>
  <c r="C2" i="8"/>
  <c r="B2" i="8"/>
  <c r="AA2" i="7"/>
  <c r="Z2" i="7"/>
  <c r="Y2" i="7"/>
  <c r="X2" i="7"/>
  <c r="W2" i="7"/>
  <c r="V2" i="7"/>
  <c r="U2" i="7"/>
  <c r="T2" i="7"/>
  <c r="S2" i="7"/>
  <c r="R2" i="7"/>
  <c r="Q2" i="7"/>
  <c r="P2" i="7"/>
  <c r="M2" i="7"/>
  <c r="L2" i="7"/>
  <c r="K2" i="7"/>
  <c r="J2" i="7"/>
  <c r="I2" i="7"/>
  <c r="H2" i="7"/>
  <c r="G2" i="7"/>
  <c r="F2" i="7"/>
  <c r="E2" i="7"/>
  <c r="D2" i="7"/>
  <c r="C2" i="7"/>
  <c r="B2" i="7"/>
  <c r="AA2" i="6"/>
  <c r="Z2" i="6"/>
  <c r="Y2" i="6"/>
  <c r="X2" i="6"/>
  <c r="W2" i="6"/>
  <c r="V2" i="6"/>
  <c r="U2" i="6"/>
  <c r="T2" i="6"/>
  <c r="S2" i="6"/>
  <c r="R2" i="6"/>
  <c r="Q2" i="6"/>
  <c r="P2" i="6"/>
  <c r="M2" i="6"/>
  <c r="L2" i="6"/>
  <c r="K2" i="6"/>
  <c r="J2" i="6"/>
  <c r="I2" i="6"/>
  <c r="H2" i="6"/>
  <c r="G2" i="6"/>
  <c r="F2" i="6"/>
  <c r="E2" i="6"/>
  <c r="D2" i="6"/>
  <c r="C2" i="6"/>
  <c r="B2" i="6"/>
  <c r="AA2" i="5"/>
  <c r="Z2" i="5"/>
  <c r="Y2" i="5"/>
  <c r="X2" i="5"/>
  <c r="W2" i="5"/>
  <c r="V2" i="5"/>
  <c r="U2" i="5"/>
  <c r="T2" i="5"/>
  <c r="S2" i="5"/>
  <c r="R2" i="5"/>
  <c r="Q2" i="5"/>
  <c r="P2" i="5"/>
  <c r="M2" i="5"/>
  <c r="L2" i="5"/>
  <c r="K2" i="5"/>
  <c r="J2" i="5"/>
  <c r="I2" i="5"/>
  <c r="H2" i="5"/>
  <c r="G2" i="5"/>
  <c r="F2" i="5"/>
  <c r="E2" i="5"/>
  <c r="D2" i="5"/>
  <c r="C2" i="5"/>
  <c r="B2" i="5"/>
  <c r="AA2" i="4"/>
  <c r="Z2" i="4"/>
  <c r="Y2" i="4"/>
  <c r="X2" i="4"/>
  <c r="W2" i="4"/>
  <c r="V2" i="4"/>
  <c r="U2" i="4"/>
  <c r="T2" i="4"/>
  <c r="R2" i="4"/>
  <c r="Q2" i="4"/>
  <c r="P2" i="4"/>
  <c r="M2" i="4"/>
  <c r="L2" i="4"/>
  <c r="K2" i="4"/>
  <c r="J2" i="4"/>
  <c r="I2" i="4"/>
  <c r="H2" i="4"/>
  <c r="G2" i="4"/>
  <c r="F2" i="4"/>
  <c r="E2" i="4"/>
  <c r="D2" i="4"/>
  <c r="C2" i="4"/>
  <c r="B2" i="4"/>
  <c r="AA2" i="3"/>
  <c r="Z2" i="3"/>
  <c r="Y2" i="3"/>
  <c r="X2" i="3"/>
  <c r="W2" i="3"/>
  <c r="V2" i="3"/>
  <c r="U2" i="3"/>
  <c r="T2" i="3"/>
  <c r="S2" i="3"/>
  <c r="R2" i="3"/>
  <c r="Q2" i="3"/>
  <c r="P2" i="3"/>
  <c r="M2" i="3"/>
  <c r="L2" i="3"/>
  <c r="K2" i="3"/>
  <c r="J2" i="3"/>
  <c r="I2" i="3"/>
  <c r="H2" i="3"/>
  <c r="G2" i="3"/>
  <c r="F2" i="3"/>
  <c r="E2" i="3"/>
  <c r="D2" i="3"/>
  <c r="C2" i="3"/>
  <c r="B2" i="3"/>
  <c r="C14" i="38" a="1"/>
  <c r="J14" i="38" a="1"/>
  <c r="D16" i="38" a="1"/>
  <c r="H12" i="38" a="1"/>
  <c r="D4" i="38" a="1"/>
  <c r="J8" i="38" a="1"/>
  <c r="H28" i="37" a="1"/>
  <c r="C28" i="37" a="1"/>
  <c r="D25" i="38" a="1"/>
  <c r="K16" i="38" a="1"/>
  <c r="G8" i="38" a="1"/>
  <c r="M21" i="38" a="1"/>
  <c r="I14" i="37" a="1"/>
  <c r="G9" i="38" a="1"/>
  <c r="D12" i="37" a="1"/>
  <c r="B14" i="37" a="1"/>
  <c r="L6" i="37" a="1"/>
  <c r="M22" i="37" a="1"/>
  <c r="D4" i="37" a="1"/>
  <c r="M29" i="37" a="1"/>
  <c r="B19" i="38" a="1"/>
  <c r="M24" i="38" a="1"/>
  <c r="D10" i="37" a="1"/>
  <c r="B14" i="38" a="1"/>
  <c r="D20" i="38" a="1"/>
  <c r="F7" i="38" a="1"/>
  <c r="K11" i="38" a="1"/>
  <c r="B20" i="38" a="1"/>
  <c r="I5" i="37" a="1"/>
  <c r="C23" i="37" a="1"/>
  <c r="H30" i="37" a="1"/>
  <c r="E12" i="38" a="1"/>
  <c r="G5" i="38" a="1"/>
  <c r="L4" i="37" a="1"/>
  <c r="B25" i="37" a="1"/>
  <c r="J25" i="38" a="1"/>
  <c r="E21" i="38" a="1"/>
  <c r="G30" i="37" a="1"/>
  <c r="M20" i="38" a="1"/>
  <c r="I25" i="38" a="1"/>
  <c r="K3" i="37" a="1"/>
  <c r="D8" i="37" a="1"/>
  <c r="E23" i="38" a="1"/>
  <c r="B9" i="38" a="1"/>
  <c r="J13" i="37" a="1"/>
  <c r="D27" i="38" a="1"/>
  <c r="J22" i="38" a="1"/>
  <c r="H18" i="38" a="1"/>
  <c r="J26" i="38" a="1"/>
  <c r="K29" i="38" a="1"/>
  <c r="M7" i="38" a="1"/>
  <c r="C19" i="38" a="1"/>
  <c r="L11" i="37" a="1"/>
  <c r="E7" i="38" a="1"/>
  <c r="I16" i="37" a="1"/>
  <c r="B12" i="37" a="1"/>
  <c r="J23" i="38" a="1"/>
  <c r="D20" i="37" a="1"/>
  <c r="B8" i="38" a="1"/>
  <c r="B16" i="37" a="1"/>
  <c r="L3" i="37" a="1"/>
  <c r="B13" i="37" a="1"/>
  <c r="J23" i="37" a="1"/>
  <c r="C30" i="38" a="1"/>
  <c r="D12" i="38" a="1"/>
  <c r="D22" i="38" a="1"/>
  <c r="K18" i="37" a="1"/>
  <c r="L21" i="38" a="1"/>
  <c r="H20" i="37" a="1"/>
  <c r="I14" i="38" a="1"/>
  <c r="L16" i="37" a="1"/>
  <c r="F16" i="37" a="1"/>
  <c r="H14" i="37" a="1"/>
  <c r="K23" i="37" a="1"/>
  <c r="D26" i="37" a="1"/>
  <c r="E22" i="37" a="1"/>
  <c r="H24" i="37" a="1"/>
  <c r="J6" i="37" a="1"/>
  <c r="F10" i="37" a="1"/>
  <c r="H26" i="38" a="1"/>
  <c r="L10" i="38" a="1"/>
  <c r="L8" i="38" a="1"/>
  <c r="H21" i="38" a="1"/>
  <c r="K4" i="37" a="1"/>
  <c r="J13" i="38" a="1"/>
  <c r="I28" i="37" a="1"/>
  <c r="M16" i="38" a="1"/>
  <c r="M21" i="37" a="1"/>
  <c r="K27" i="37" a="1"/>
  <c r="B11" i="38" a="1"/>
  <c r="I29" i="37" a="1"/>
  <c r="C7" i="38" a="1"/>
  <c r="C13" i="38" a="1"/>
  <c r="M9" i="37" a="1"/>
  <c r="J30" i="37" a="1"/>
  <c r="C10" i="37" a="1"/>
  <c r="L3" i="38" a="1"/>
  <c r="F27" i="38" a="1"/>
  <c r="B22" i="37" a="1"/>
  <c r="K12" i="37" a="1"/>
  <c r="C6" i="38" a="1"/>
  <c r="E11" i="38" a="1"/>
  <c r="J14" i="37" a="1"/>
  <c r="L15" i="38" a="1"/>
  <c r="G29" i="37" a="1"/>
  <c r="I22" i="38" a="1"/>
  <c r="F25" i="37" a="1"/>
  <c r="F3" i="37" a="1"/>
  <c r="M26" i="38" a="1"/>
  <c r="B20" i="37" a="1"/>
  <c r="G27" i="37" a="1"/>
  <c r="G22" i="37" a="1"/>
  <c r="L18" i="37" a="1"/>
  <c r="D19" i="37" a="1"/>
  <c r="H27" i="37" a="1"/>
  <c r="B9" i="37" a="1"/>
  <c r="E13" i="38" a="1"/>
  <c r="D19" i="38" a="1"/>
  <c r="F26" i="38" a="1"/>
  <c r="E20" i="37" a="1"/>
  <c r="K25" i="38" a="1"/>
  <c r="I20" i="38" a="1"/>
  <c r="L29" i="37" a="1"/>
  <c r="B3" i="37" a="1"/>
  <c r="L28" i="38" a="1"/>
  <c r="M17" i="38" a="1"/>
  <c r="I10" i="38" a="1"/>
  <c r="B11" i="37" a="1"/>
  <c r="F9" i="37" a="1"/>
  <c r="F24" i="38" a="1"/>
  <c r="E15" i="37" a="1"/>
  <c r="L26" i="37" a="1"/>
  <c r="L24" i="37" a="1"/>
  <c r="M11" i="38" a="1"/>
  <c r="I4" i="37" a="1"/>
  <c r="D23" i="37" a="1"/>
  <c r="D29" i="37" a="1"/>
  <c r="H7" i="37" a="1"/>
  <c r="C12" i="37" a="1"/>
  <c r="J11" i="37" a="1"/>
  <c r="L11" i="38" a="1"/>
  <c r="F10" i="38" a="1"/>
  <c r="D8" i="38" a="1"/>
  <c r="E11" i="37" a="1"/>
  <c r="K11" i="37" a="1"/>
  <c r="L14" i="37" a="1"/>
  <c r="I30" i="37" a="1"/>
  <c r="F28" i="37" a="1"/>
  <c r="J25" i="37" a="1"/>
  <c r="M13" i="38" a="1"/>
  <c r="G17" i="38" a="1"/>
  <c r="I9" i="38" a="1"/>
  <c r="G4" i="38" a="1"/>
  <c r="E21" i="37" a="1"/>
  <c r="C5" i="37" a="1"/>
  <c r="C15" i="37" a="1"/>
  <c r="J18" i="37" a="1"/>
  <c r="L27" i="38" a="1"/>
  <c r="L25" i="38" a="1"/>
  <c r="G5" i="37" a="1"/>
  <c r="B4" i="38" a="1"/>
  <c r="G15" i="38" a="1"/>
  <c r="B13" i="38" a="1"/>
  <c r="K4" i="38" a="1"/>
  <c r="I17" i="37" a="1"/>
  <c r="E30" i="37" a="1"/>
  <c r="K19" i="38" a="1"/>
  <c r="E9" i="37" a="1"/>
  <c r="I19" i="37" a="1"/>
  <c r="E28" i="38" a="1"/>
  <c r="K14" i="37" a="1"/>
  <c r="C14" i="37" a="1"/>
  <c r="F9" i="38" a="1"/>
  <c r="G7" i="37" a="1"/>
  <c r="H23" i="38" a="1"/>
  <c r="D11" i="37" a="1"/>
  <c r="J24" i="38" a="1"/>
  <c r="K30" i="37" a="1"/>
  <c r="I27" i="37" a="1"/>
  <c r="C21" i="37" a="1"/>
  <c r="C29" i="38" a="1"/>
  <c r="D3" i="38" a="1"/>
  <c r="K27" i="38" a="1"/>
  <c r="D7" i="38" a="1"/>
  <c r="C23" i="38" a="1"/>
  <c r="L5" i="37" a="1"/>
  <c r="J28" i="38" a="1"/>
  <c r="B30" i="37" a="1"/>
  <c r="L12" i="38" a="1"/>
  <c r="M10" i="38" a="1"/>
  <c r="K9" i="38" a="1"/>
  <c r="I3" i="37" a="1"/>
  <c r="K28" i="37" a="1"/>
  <c r="C18" i="37" a="1"/>
  <c r="F13" i="37" a="1"/>
  <c r="F11" i="37" a="1"/>
  <c r="K19" i="37" a="1"/>
  <c r="F25" i="38" a="1"/>
  <c r="I15" i="38" a="1"/>
  <c r="G18" i="38" a="1"/>
  <c r="G23" i="38" a="1"/>
  <c r="C18" i="38" a="1"/>
  <c r="L20" i="38" a="1"/>
  <c r="F18" i="38" a="1"/>
  <c r="G24" i="37" a="1"/>
  <c r="D30" i="37" a="1"/>
  <c r="F7" i="37" a="1"/>
  <c r="J3" i="37" a="1"/>
  <c r="E30" i="38" a="1"/>
  <c r="H4" i="38" a="1"/>
  <c r="I3" i="38" a="1"/>
  <c r="E14" i="37" a="1"/>
  <c r="L19" i="37" a="1"/>
  <c r="M23" i="37" a="1"/>
  <c r="D14" i="37" a="1"/>
  <c r="I18" i="37" a="1"/>
  <c r="L23" i="38" a="1"/>
  <c r="D13" i="37" a="1"/>
  <c r="J3" i="38" a="1"/>
  <c r="E10" i="38" a="1"/>
  <c r="K30" i="38" a="1"/>
  <c r="I9" i="37" a="1"/>
  <c r="B5" i="38" a="1"/>
  <c r="D28" i="37" a="1"/>
  <c r="E17" i="37" a="1"/>
  <c r="K20" i="38" a="1"/>
  <c r="G3" i="37" a="1"/>
  <c r="D16" i="37" a="1"/>
  <c r="B28" i="37" a="1"/>
  <c r="H19" i="37" a="1"/>
  <c r="J19" i="37" a="1"/>
  <c r="M23" i="38" a="1"/>
  <c r="I8" i="37" a="1"/>
  <c r="B7" i="38" a="1"/>
  <c r="J15" i="38" a="1"/>
  <c r="I6" i="38" a="1"/>
  <c r="C20" i="38" a="1"/>
  <c r="C8" i="38" a="1"/>
  <c r="M28" i="38" a="1"/>
  <c r="B18" i="38" a="1"/>
  <c r="G11" i="37" a="1"/>
  <c r="H9" i="37" a="1"/>
  <c r="I7" i="38" a="1"/>
  <c r="C11" i="38" a="1"/>
  <c r="K12" i="38" a="1"/>
  <c r="H23" i="37" a="1"/>
  <c r="B17" i="37" a="1"/>
  <c r="M29" i="38" a="1"/>
  <c r="C26" i="37" a="1"/>
  <c r="B5" i="37" a="1"/>
  <c r="J9" i="38" a="1"/>
  <c r="K18" i="38" a="1"/>
  <c r="K8" i="37" a="1"/>
  <c r="G6" i="38" a="1"/>
  <c r="E28" i="37" a="1"/>
  <c r="H16" i="37" a="1"/>
  <c r="F3" i="38" a="1"/>
  <c r="L12" i="37" a="1"/>
  <c r="B19" i="37" a="1"/>
  <c r="I21" i="37" a="1"/>
  <c r="I12" i="38" a="1"/>
  <c r="F22" i="38" a="1"/>
  <c r="I26" i="37" a="1"/>
  <c r="H12" i="37" a="1"/>
  <c r="J10" i="37" a="1"/>
  <c r="J4" i="38" a="1"/>
  <c r="J17" i="38" a="1"/>
  <c r="F6" i="38" a="1"/>
  <c r="I16" i="38" a="1"/>
  <c r="D9" i="37" a="1"/>
  <c r="D18" i="38" a="1"/>
  <c r="C20" i="37" a="1"/>
  <c r="G25" i="37" a="1"/>
  <c r="H15" i="37" a="1"/>
  <c r="H13" i="38" a="1"/>
  <c r="B26" i="37" a="1"/>
  <c r="M22" i="38" a="1"/>
  <c r="E25" i="38" a="1"/>
  <c r="L5" i="38" a="1"/>
  <c r="C16" i="37" a="1"/>
  <c r="C5" i="38" a="1"/>
  <c r="G3" i="38" a="1"/>
  <c r="F26" i="37" a="1"/>
  <c r="M16" i="37" a="1"/>
  <c r="K14" i="38" a="1"/>
  <c r="D27" i="37" a="1"/>
  <c r="L13" i="37" a="1"/>
  <c r="M8" i="38" a="1"/>
  <c r="E18" i="37" a="1"/>
  <c r="L10" i="37" a="1"/>
  <c r="G20" i="37" a="1"/>
  <c r="M5" i="38" a="1"/>
  <c r="B28" i="38" a="1"/>
  <c r="K7" i="38" a="1"/>
  <c r="G22" i="38" a="1"/>
  <c r="F22" i="37" a="1"/>
  <c r="B3" i="38" a="1"/>
  <c r="G16" i="38" a="1"/>
  <c r="E26" i="37" a="1"/>
  <c r="H19" i="38" a="1"/>
  <c r="M30" i="38" a="1"/>
  <c r="C7" i="37" a="1"/>
  <c r="K24" i="38" a="1"/>
  <c r="D3" i="37" a="1"/>
  <c r="E27" i="37" a="1"/>
  <c r="M14" i="37" a="1"/>
  <c r="D24" i="38" a="1"/>
  <c r="D29" i="38" a="1"/>
  <c r="G27" i="38" a="1"/>
  <c r="F21" i="37" a="1"/>
  <c r="L9" i="37" a="1"/>
  <c r="E5" i="38" a="1"/>
  <c r="C10" i="38" a="1"/>
  <c r="F4" i="38" a="1"/>
  <c r="G28" i="37" a="1"/>
  <c r="I22" i="37" a="1"/>
  <c r="D18" i="37" a="1"/>
  <c r="B6" i="38" a="1"/>
  <c r="F29" i="38" a="1"/>
  <c r="H14" i="38" a="1"/>
  <c r="I21" i="38" a="1"/>
  <c r="H6" i="37" a="1"/>
  <c r="E12" i="37" a="1"/>
  <c r="J16" i="38" a="1"/>
  <c r="B6" i="37" a="1"/>
  <c r="J9" i="37" a="1"/>
  <c r="J27" i="38" a="1"/>
  <c r="K13" i="37" a="1"/>
  <c r="H27" i="38" a="1"/>
  <c r="I11" i="37" a="1"/>
  <c r="F15" i="37" a="1"/>
  <c r="F14" i="38" a="1"/>
  <c r="E19" i="38" a="1"/>
  <c r="L8" i="37" a="1"/>
  <c r="D21" i="38" a="1"/>
  <c r="K22" i="37" a="1"/>
  <c r="E23" i="37" a="1"/>
  <c r="M24" i="37" a="1"/>
  <c r="F17" i="38" a="1"/>
  <c r="L4" i="38" a="1"/>
  <c r="F12" i="37" a="1"/>
  <c r="C27" i="37" a="1"/>
  <c r="C6" i="37" a="1"/>
  <c r="F20" i="37" a="1"/>
  <c r="M30" i="37" a="1"/>
  <c r="C30" i="37" a="1"/>
  <c r="H17" i="37" a="1"/>
  <c r="M19" i="37" a="1"/>
  <c r="K23" i="38" a="1"/>
  <c r="C22" i="37" a="1"/>
  <c r="H28" i="38" a="1"/>
  <c r="H29" i="37" a="1"/>
  <c r="M26" i="37" a="1"/>
  <c r="G25" i="38" a="1"/>
  <c r="K9" i="37" a="1"/>
  <c r="E7" i="37" a="1"/>
  <c r="F21" i="38" a="1"/>
  <c r="M9" i="38" a="1"/>
  <c r="F12" i="38" a="1"/>
  <c r="K26" i="38" a="1"/>
  <c r="B25" i="38" a="1"/>
  <c r="F6" i="37" a="1"/>
  <c r="E19" i="37" a="1"/>
  <c r="B26" i="38" a="1"/>
  <c r="B18" i="37" a="1"/>
  <c r="L28" i="37" a="1"/>
  <c r="E27" i="38" a="1"/>
  <c r="B15" i="37" a="1"/>
  <c r="F27" i="37" a="1"/>
  <c r="J16" i="37" a="1"/>
  <c r="B17" i="38" a="1"/>
  <c r="M7" i="37" a="1"/>
  <c r="B12" i="38" a="1"/>
  <c r="J18" i="38" a="1"/>
  <c r="F13" i="38" a="1"/>
  <c r="J8" i="37" a="1"/>
  <c r="K24" i="37" a="1"/>
  <c r="B29" i="37" a="1"/>
  <c r="I8" i="38" a="1"/>
  <c r="I24" i="37" a="1"/>
  <c r="L22" i="37" a="1"/>
  <c r="M15" i="38" a="1"/>
  <c r="B10" i="38" a="1"/>
  <c r="G16" i="37" a="1"/>
  <c r="G17" i="37" a="1"/>
  <c r="L26" i="38" a="1"/>
  <c r="M6" i="38" a="1"/>
  <c r="E8" i="37" a="1"/>
  <c r="L13" i="38" a="1"/>
  <c r="K13" i="38" a="1"/>
  <c r="K6" i="37" a="1"/>
  <c r="L25" i="37" a="1"/>
  <c r="C17" i="38" a="1"/>
  <c r="H5" i="37" a="1"/>
  <c r="D15" i="37" a="1"/>
  <c r="C21" i="38" a="1"/>
  <c r="H11" i="37" a="1"/>
  <c r="J21" i="38" a="1"/>
  <c r="E29" i="37" a="1"/>
  <c r="L6" i="38" a="1"/>
  <c r="F8" i="38" a="1"/>
  <c r="H22" i="38" a="1"/>
  <c r="M27" i="38" a="1"/>
  <c r="G18" i="37" a="1"/>
  <c r="M5" i="37" a="1"/>
  <c r="J24" i="37" a="1"/>
  <c r="K3" i="38" a="1"/>
  <c r="J7" i="37" a="1"/>
  <c r="K5" i="38" a="1"/>
  <c r="F14" i="37" a="1"/>
  <c r="J28" i="37" a="1"/>
  <c r="E4" i="38" a="1"/>
  <c r="G21" i="38" a="1"/>
  <c r="E16" i="37" a="1"/>
  <c r="G10" i="38" a="1"/>
  <c r="C27" i="38" a="1"/>
  <c r="I13" i="37" a="1"/>
  <c r="M3" i="38" a="1"/>
  <c r="F5" i="38" a="1"/>
  <c r="J17" i="37" a="1"/>
  <c r="B22" i="38" a="1"/>
  <c r="B24" i="38" a="1"/>
  <c r="D30" i="38" a="1"/>
  <c r="F23" i="38" a="1"/>
  <c r="L7" i="38" a="1"/>
  <c r="H10" i="37" a="1"/>
  <c r="L27" i="37" a="1"/>
  <c r="D6" i="37" a="1"/>
  <c r="K21" i="37" a="1"/>
  <c r="F4" i="37" a="1"/>
  <c r="D13" i="38" a="1"/>
  <c r="H24" i="38" a="1"/>
  <c r="I15" i="37" a="1"/>
  <c r="I4" i="38" a="1"/>
  <c r="B15" i="38" a="1"/>
  <c r="E25" i="37" a="1"/>
  <c r="B23" i="38" a="1"/>
  <c r="F15" i="38" a="1"/>
  <c r="J10" i="38" a="1"/>
  <c r="H26" i="37" a="1"/>
  <c r="H8" i="38" a="1"/>
  <c r="J15" i="37" a="1"/>
  <c r="B21" i="38" a="1"/>
  <c r="I6" i="37" a="1"/>
  <c r="L24" i="38" a="1"/>
  <c r="C29" i="37" a="1"/>
  <c r="E3" i="38" a="1"/>
  <c r="E9" i="38" a="1"/>
  <c r="M18" i="37" a="1"/>
  <c r="H6" i="38" a="1"/>
  <c r="M12" i="38" a="1"/>
  <c r="I29" i="38" a="1"/>
  <c r="G15" i="37" a="1"/>
  <c r="C24" i="38" a="1"/>
  <c r="E5" i="37" a="1"/>
  <c r="C12" i="38" a="1"/>
  <c r="G12" i="37" a="1"/>
  <c r="K6" i="38" a="1"/>
  <c r="H30" i="38" a="1"/>
  <c r="I19" i="38" a="1"/>
  <c r="C16" i="38" a="1"/>
  <c r="J19" i="38" a="1"/>
  <c r="J7" i="38" a="1"/>
  <c r="C13" i="37" a="1"/>
  <c r="K22" i="38" a="1"/>
  <c r="E10" i="37" a="1"/>
  <c r="D25" i="37" a="1"/>
  <c r="E8" i="38" a="1"/>
  <c r="J20" i="37" a="1"/>
  <c r="G28" i="38" a="1"/>
  <c r="B4" i="37" a="1"/>
  <c r="F17" i="37" a="1"/>
  <c r="E14" i="38" a="1"/>
  <c r="I5" i="38" a="1"/>
  <c r="C22" i="38" a="1"/>
  <c r="F11" i="38" a="1"/>
  <c r="G7" i="38" a="1"/>
  <c r="L15" i="37" a="1"/>
  <c r="L23" i="37" a="1"/>
  <c r="C4" i="38" a="1"/>
  <c r="G6" i="37" a="1"/>
  <c r="F16" i="38" a="1"/>
  <c r="H22" i="37" a="1"/>
  <c r="H21" i="37" a="1"/>
  <c r="J27" i="37" a="1"/>
  <c r="C8" i="37" a="1"/>
  <c r="D26" i="38" a="1"/>
  <c r="I7" i="37" a="1"/>
  <c r="D5" i="37" a="1"/>
  <c r="G29" i="38" a="1"/>
  <c r="I30" i="38" a="1"/>
  <c r="K28" i="38" a="1"/>
  <c r="G19" i="37" a="1"/>
  <c r="G23" i="37" a="1"/>
  <c r="K29" i="37" a="1"/>
  <c r="E4" i="37" a="1"/>
  <c r="H17" i="38" a="1"/>
  <c r="M19" i="38" a="1"/>
  <c r="F20" i="38" a="1"/>
  <c r="F29" i="37" a="1"/>
  <c r="E3" i="37" a="1"/>
  <c r="B27" i="38" a="1"/>
  <c r="G26" i="37" a="1"/>
  <c r="K17" i="38" a="1"/>
  <c r="H3" i="37" a="1"/>
  <c r="B29" i="38" a="1"/>
  <c r="I25" i="37" a="1"/>
  <c r="L21" i="37" a="1"/>
  <c r="C25" i="38" a="1"/>
  <c r="G19" i="38" a="1"/>
  <c r="M12" i="37" a="1"/>
  <c r="B7" i="37" a="1"/>
  <c r="L18" i="38" a="1"/>
  <c r="I23" i="38" a="1"/>
  <c r="J30" i="38" a="1"/>
  <c r="E29" i="38" a="1"/>
  <c r="M18" i="38" a="1"/>
  <c r="K7" i="37" a="1"/>
  <c r="H16" i="38" a="1"/>
  <c r="E24" i="38" a="1"/>
  <c r="H25" i="38" a="1"/>
  <c r="B23" i="37" a="1"/>
  <c r="L30" i="38" a="1"/>
  <c r="C26" i="38" a="1"/>
  <c r="F24" i="37" a="1"/>
  <c r="D15" i="38" a="1"/>
  <c r="E18" i="38" a="1"/>
  <c r="C4" i="37" a="1"/>
  <c r="E16" i="38" a="1"/>
  <c r="F30" i="37" a="1"/>
  <c r="L20" i="37" a="1"/>
  <c r="D28" i="38" a="1"/>
  <c r="B8" i="37" a="1"/>
  <c r="J5" i="37" a="1"/>
  <c r="M11" i="37" a="1"/>
  <c r="L7" i="37" a="1"/>
  <c r="B16" i="38" a="1"/>
  <c r="H10" i="38" a="1"/>
  <c r="F5" i="37" a="1"/>
  <c r="L9" i="38" a="1"/>
  <c r="J4" i="37" a="1"/>
  <c r="E17" i="38" a="1"/>
  <c r="K10" i="38" a="1"/>
  <c r="F8" i="37" a="1"/>
  <c r="G11" i="38" a="1"/>
  <c r="E26" i="38" a="1"/>
  <c r="K20" i="37" a="1"/>
  <c r="K8" i="38" a="1"/>
  <c r="I10" i="37" a="1"/>
  <c r="C17" i="37" a="1"/>
  <c r="I20" i="37" a="1"/>
  <c r="G8" i="37" a="1"/>
  <c r="J22" i="37" a="1"/>
  <c r="I18" i="38" a="1"/>
  <c r="M25" i="38" a="1"/>
  <c r="G24" i="38" a="1"/>
  <c r="B10" i="37" a="1"/>
  <c r="G30" i="38" a="1"/>
  <c r="G12" i="38" a="1"/>
  <c r="B24" i="37" a="1"/>
  <c r="F28" i="38" a="1"/>
  <c r="J12" i="38" a="1"/>
  <c r="G9" i="37" a="1"/>
  <c r="C24" i="37" a="1"/>
  <c r="L16" i="38" a="1"/>
  <c r="J21" i="37" a="1"/>
  <c r="H5" i="38" a="1"/>
  <c r="H9" i="38" a="1"/>
  <c r="C3" i="37" a="1"/>
  <c r="G14" i="38" a="1"/>
  <c r="L19" i="38" a="1"/>
  <c r="E24" i="37" a="1"/>
  <c r="K26" i="37" a="1"/>
  <c r="L14" i="38" a="1"/>
  <c r="B21" i="37" a="1"/>
  <c r="M20" i="37" a="1"/>
  <c r="H13" i="37" a="1"/>
  <c r="D22" i="37" a="1"/>
  <c r="M4" i="37" a="1"/>
  <c r="E6" i="38" a="1"/>
  <c r="K21" i="38" a="1"/>
  <c r="H7" i="38" a="1"/>
  <c r="I28" i="38" a="1"/>
  <c r="L17" i="37" a="1"/>
  <c r="C19" i="37" a="1"/>
  <c r="M25" i="37" a="1"/>
  <c r="C15" i="38" a="1"/>
  <c r="J29" i="38" a="1"/>
  <c r="M3" i="37" a="1"/>
  <c r="H18" i="37" a="1"/>
  <c r="H11" i="38" a="1"/>
  <c r="I17" i="38" a="1"/>
  <c r="E22" i="38" a="1"/>
  <c r="M8" i="37" a="1"/>
  <c r="M27" i="37" a="1"/>
  <c r="K15" i="37" a="1"/>
  <c r="D10" i="38" a="1"/>
  <c r="G10" i="37" a="1"/>
  <c r="I12" i="37" a="1"/>
  <c r="C25" i="37" a="1"/>
  <c r="D24" i="37" a="1"/>
  <c r="D21" i="37" a="1"/>
  <c r="D23" i="38" a="1"/>
  <c r="I23" i="37" a="1"/>
  <c r="C9" i="38" a="1"/>
  <c r="D9" i="38" a="1"/>
  <c r="I27" i="38" a="1"/>
  <c r="L30" i="37" a="1"/>
  <c r="F23" i="37" a="1"/>
  <c r="J11" i="38" a="1"/>
  <c r="M6" i="37" a="1"/>
  <c r="D5" i="38" a="1"/>
  <c r="M17" i="37" a="1"/>
  <c r="F18" i="37" a="1"/>
  <c r="G4" i="37" a="1"/>
  <c r="C28" i="38" a="1"/>
  <c r="H25" i="37" a="1"/>
  <c r="I13" i="38" a="1"/>
  <c r="K5" i="37" a="1"/>
  <c r="M14" i="38" a="1"/>
  <c r="E6" i="37" a="1"/>
  <c r="I24" i="38" a="1"/>
  <c r="I26" i="38" a="1"/>
  <c r="H3" i="38" a="1"/>
  <c r="B30" i="38" a="1"/>
  <c r="D7" i="37" a="1"/>
  <c r="D17" i="38" a="1"/>
  <c r="L17" i="38" a="1"/>
  <c r="E15" i="38" a="1"/>
  <c r="C3" i="38" a="1"/>
  <c r="K17" i="37" a="1"/>
  <c r="I11" i="38" a="1"/>
  <c r="J5" i="38" a="1"/>
  <c r="D6" i="38" a="1"/>
  <c r="L29" i="38" a="1"/>
  <c r="H29" i="38" a="1"/>
  <c r="J29" i="37" a="1"/>
  <c r="J6" i="38" a="1"/>
  <c r="M10" i="37" a="1"/>
  <c r="D14" i="38" a="1"/>
  <c r="G21" i="37" a="1"/>
  <c r="H20" i="38" a="1"/>
  <c r="H8" i="37" a="1"/>
  <c r="G20" i="38" a="1"/>
  <c r="E20" i="38" a="1"/>
  <c r="K15" i="38" a="1"/>
  <c r="K16" i="37" a="1"/>
  <c r="M13" i="37" a="1"/>
  <c r="F30" i="38" a="1"/>
  <c r="C11" i="37" a="1"/>
  <c r="G26" i="38" a="1"/>
  <c r="H15" i="38" a="1"/>
  <c r="M4" i="38" a="1"/>
  <c r="J20" i="38" a="1"/>
  <c r="G13" i="37" a="1"/>
  <c r="G13" i="38" a="1"/>
  <c r="D17" i="37" a="1"/>
  <c r="G14" i="37" a="1"/>
  <c r="M15" i="37" a="1"/>
  <c r="M28" i="37" a="1"/>
  <c r="B27" i="37" a="1"/>
  <c r="D11" i="38" a="1"/>
  <c r="K25" i="37" a="1"/>
  <c r="F19" i="37" a="1"/>
  <c r="L22" i="38" a="1"/>
  <c r="F19" i="38" a="1"/>
  <c r="J26" i="37" a="1"/>
  <c r="C9" i="37" a="1"/>
  <c r="H4" i="37" a="1"/>
  <c r="K10" i="37" a="1"/>
  <c r="J12" i="37" a="1"/>
  <c r="E13" i="37" a="1"/>
  <c r="B5" i="38" l="1"/>
  <c r="I11" i="38"/>
  <c r="K17" i="38"/>
  <c r="D22" i="38"/>
  <c r="C4" i="38"/>
  <c r="L13" i="38"/>
  <c r="E20" i="38"/>
  <c r="M9" i="38"/>
  <c r="D18" i="38"/>
  <c r="I24" i="38"/>
  <c r="G6" i="38"/>
  <c r="E16" i="38"/>
  <c r="H8" i="38"/>
  <c r="E18" i="38"/>
  <c r="C29" i="38"/>
  <c r="J4" i="38"/>
  <c r="G20" i="38"/>
  <c r="I8" i="38"/>
  <c r="D29" i="38"/>
  <c r="I6" i="38"/>
  <c r="H18" i="38"/>
  <c r="C23" i="38"/>
  <c r="I10" i="38"/>
  <c r="E27" i="38"/>
  <c r="J6" i="38"/>
  <c r="H16" i="38"/>
  <c r="D23" i="38"/>
  <c r="K14" i="38"/>
  <c r="M29" i="38"/>
  <c r="B7" i="38"/>
  <c r="L16" i="38"/>
  <c r="E23" i="38"/>
  <c r="M12" i="38"/>
  <c r="B30" i="38"/>
  <c r="F11" i="38"/>
  <c r="F21" i="38"/>
  <c r="G7" i="38"/>
  <c r="E17" i="38"/>
  <c r="C28" i="38"/>
  <c r="H9" i="38"/>
  <c r="G19" i="38"/>
  <c r="E30" i="38"/>
  <c r="G15" i="38"/>
  <c r="F17" i="38"/>
  <c r="D26" i="38"/>
  <c r="K7" i="38"/>
  <c r="K19" i="38"/>
  <c r="I28" i="38"/>
  <c r="M7" i="38"/>
  <c r="H26" i="38"/>
  <c r="C6" i="38"/>
  <c r="K15" i="38"/>
  <c r="E22" i="38"/>
  <c r="B8" i="38"/>
  <c r="B29" i="38"/>
  <c r="F8" i="38"/>
  <c r="F14" i="38"/>
  <c r="F22" i="38"/>
  <c r="F12" i="38"/>
  <c r="C27" i="38"/>
  <c r="H6" i="38"/>
  <c r="F16" i="38"/>
  <c r="B25" i="38"/>
  <c r="G12" i="38"/>
  <c r="F18" i="38"/>
  <c r="D25" i="38"/>
  <c r="C3" i="38"/>
  <c r="G16" i="38"/>
  <c r="H29" i="38"/>
  <c r="M4" i="38"/>
  <c r="J8" i="38"/>
  <c r="E25" i="38"/>
  <c r="D3" i="38"/>
  <c r="J12" i="38"/>
  <c r="K18" i="38"/>
  <c r="I29" i="38"/>
  <c r="L12" i="38"/>
  <c r="J16" i="38"/>
  <c r="H27" i="38"/>
  <c r="D5" i="38"/>
  <c r="L10" i="38"/>
  <c r="E21" i="38"/>
  <c r="J27" i="38"/>
  <c r="B11" i="38"/>
  <c r="D19" i="38"/>
  <c r="B28" i="38"/>
  <c r="J3" i="38"/>
  <c r="G9" i="38"/>
  <c r="D30" i="38"/>
  <c r="F15" i="38"/>
  <c r="J23" i="38"/>
  <c r="I5" i="38"/>
  <c r="F13" i="38"/>
  <c r="I21" i="38"/>
  <c r="H7" i="38"/>
  <c r="I9" i="38"/>
  <c r="J19" i="38"/>
  <c r="C24" i="38"/>
  <c r="B6" i="38"/>
  <c r="J9" i="38"/>
  <c r="D24" i="38"/>
  <c r="L9" i="38"/>
  <c r="F24" i="38"/>
  <c r="H4" i="38"/>
  <c r="M11" i="38"/>
  <c r="L17" i="38"/>
  <c r="I26" i="38"/>
  <c r="I4" i="38"/>
  <c r="F20" i="38"/>
  <c r="G10" i="38"/>
  <c r="J22" i="38"/>
  <c r="J24" i="38"/>
  <c r="G14" i="38"/>
  <c r="H10" i="38"/>
  <c r="K22" i="38"/>
  <c r="D27" i="38"/>
  <c r="K4" i="38"/>
  <c r="H14" i="38"/>
  <c r="J20" i="38"/>
  <c r="H12" i="38"/>
  <c r="I14" i="38"/>
  <c r="D21" i="38"/>
  <c r="F25" i="38"/>
  <c r="I3" i="38"/>
  <c r="M8" i="38"/>
  <c r="L14" i="38"/>
  <c r="I25" i="38"/>
  <c r="H5" i="38"/>
  <c r="E13" i="38"/>
  <c r="F19" i="38"/>
  <c r="C26" i="38"/>
  <c r="K3" i="38"/>
  <c r="G11" i="38"/>
  <c r="H13" i="38"/>
  <c r="D28" i="38"/>
  <c r="J5" i="38"/>
  <c r="J7" i="38"/>
  <c r="H11" i="38"/>
  <c r="J21" i="38"/>
  <c r="H30" i="38"/>
  <c r="B4" i="38"/>
  <c r="I13" i="38"/>
  <c r="H15" i="38"/>
  <c r="G17" i="38"/>
  <c r="E26" i="38"/>
  <c r="H19" i="38"/>
  <c r="G21" i="38"/>
  <c r="F23" i="38"/>
  <c r="G24" i="38"/>
  <c r="F26" i="38"/>
  <c r="E28" i="38"/>
  <c r="F29" i="38"/>
  <c r="L3" i="38"/>
  <c r="K5" i="38"/>
  <c r="L6" i="38"/>
  <c r="K8" i="38"/>
  <c r="J10" i="38"/>
  <c r="J13" i="38"/>
  <c r="I15" i="38"/>
  <c r="H17" i="38"/>
  <c r="I18" i="38"/>
  <c r="H20" i="38"/>
  <c r="G22" i="38"/>
  <c r="H23" i="38"/>
  <c r="G25" i="38"/>
  <c r="F27" i="38"/>
  <c r="F30" i="38"/>
  <c r="L4" i="38"/>
  <c r="L7" i="38"/>
  <c r="K9" i="38"/>
  <c r="J11" i="38"/>
  <c r="K12" i="38"/>
  <c r="J14" i="38"/>
  <c r="I16" i="38"/>
  <c r="J17" i="38"/>
  <c r="I19" i="38"/>
  <c r="H21" i="38"/>
  <c r="H24" i="38"/>
  <c r="G26" i="38"/>
  <c r="F28" i="38"/>
  <c r="G29" i="38"/>
  <c r="B3" i="38"/>
  <c r="M3" i="38"/>
  <c r="L5" i="38"/>
  <c r="M6" i="38"/>
  <c r="L8" i="38"/>
  <c r="K10" i="38"/>
  <c r="L11" i="38"/>
  <c r="K13" i="38"/>
  <c r="J15" i="38"/>
  <c r="J18" i="38"/>
  <c r="I20" i="38"/>
  <c r="H22" i="38"/>
  <c r="I23" i="38"/>
  <c r="H25" i="38"/>
  <c r="G27" i="38"/>
  <c r="H28" i="38"/>
  <c r="G30" i="38"/>
  <c r="C7" i="38"/>
  <c r="B12" i="38"/>
  <c r="L15" i="38"/>
  <c r="L18" i="38"/>
  <c r="L21" i="38"/>
  <c r="J25" i="38"/>
  <c r="J28" i="38"/>
  <c r="D6" i="38"/>
  <c r="B10" i="38"/>
  <c r="B13" i="38"/>
  <c r="M14" i="38"/>
  <c r="M17" i="38"/>
  <c r="K24" i="38"/>
  <c r="K27" i="38"/>
  <c r="J29" i="38"/>
  <c r="E3" i="38"/>
  <c r="E5" i="38"/>
  <c r="D10" i="38"/>
  <c r="C12" i="38"/>
  <c r="M18" i="38"/>
  <c r="M21" i="38"/>
  <c r="L26" i="38"/>
  <c r="K28" i="38"/>
  <c r="F4" i="38"/>
  <c r="D8" i="38"/>
  <c r="B15" i="38"/>
  <c r="B18" i="38"/>
  <c r="B21" i="38"/>
  <c r="L24" i="38"/>
  <c r="K29" i="38"/>
  <c r="F3" i="38"/>
  <c r="E7" i="38"/>
  <c r="E10" i="38"/>
  <c r="D15" i="38"/>
  <c r="B19" i="38"/>
  <c r="B22" i="38"/>
  <c r="L25" i="38"/>
  <c r="K30" i="38"/>
  <c r="G4" i="38"/>
  <c r="E8" i="38"/>
  <c r="E11" i="38"/>
  <c r="C18" i="38"/>
  <c r="C21" i="38"/>
  <c r="B23" i="38"/>
  <c r="M24" i="38"/>
  <c r="B26" i="38"/>
  <c r="M27" i="38"/>
  <c r="L29" i="38"/>
  <c r="B9" i="38"/>
  <c r="M13" i="38"/>
  <c r="M16" i="38"/>
  <c r="K20" i="38"/>
  <c r="K23" i="38"/>
  <c r="I30" i="38"/>
  <c r="C8" i="38"/>
  <c r="C11" i="38"/>
  <c r="B16" i="38"/>
  <c r="L19" i="38"/>
  <c r="L22" i="38"/>
  <c r="J26" i="38"/>
  <c r="D4" i="38"/>
  <c r="D7" i="38"/>
  <c r="C9" i="38"/>
  <c r="B14" i="38"/>
  <c r="B17" i="38"/>
  <c r="L20" i="38"/>
  <c r="L23" i="38"/>
  <c r="K25" i="38"/>
  <c r="J30" i="38"/>
  <c r="E6" i="38"/>
  <c r="D11" i="38"/>
  <c r="C13" i="38"/>
  <c r="C16" i="38"/>
  <c r="M19" i="38"/>
  <c r="M22" i="38"/>
  <c r="L27" i="38"/>
  <c r="F5" i="38"/>
  <c r="D9" i="38"/>
  <c r="D12" i="38"/>
  <c r="C14" i="38"/>
  <c r="C17" i="38"/>
  <c r="M23" i="38"/>
  <c r="M26" i="38"/>
  <c r="L28" i="38"/>
  <c r="F6" i="38"/>
  <c r="F9" i="38"/>
  <c r="D13" i="38"/>
  <c r="D16" i="38"/>
  <c r="B20" i="38"/>
  <c r="H3" i="38"/>
  <c r="G5" i="38"/>
  <c r="F7" i="38"/>
  <c r="F10" i="38"/>
  <c r="E12" i="38"/>
  <c r="D14" i="38"/>
  <c r="E15" i="38"/>
  <c r="D17" i="38"/>
  <c r="C19" i="38"/>
  <c r="D20" i="38"/>
  <c r="C22" i="38"/>
  <c r="B24" i="38"/>
  <c r="B27" i="38"/>
  <c r="M28" i="38"/>
  <c r="L30" i="38"/>
  <c r="I7" i="38"/>
  <c r="I17" i="38"/>
  <c r="C30" i="38"/>
  <c r="G3" i="38"/>
  <c r="E4" i="38"/>
  <c r="C5" i="38"/>
  <c r="M5" i="38"/>
  <c r="K6" i="38"/>
  <c r="G8" i="38"/>
  <c r="E9" i="38"/>
  <c r="C10" i="38"/>
  <c r="M10" i="38"/>
  <c r="K11" i="38"/>
  <c r="I12" i="38"/>
  <c r="G13" i="38"/>
  <c r="E14" i="38"/>
  <c r="C15" i="38"/>
  <c r="M15" i="38"/>
  <c r="K16" i="38"/>
  <c r="G18" i="38"/>
  <c r="E19" i="38"/>
  <c r="C20" i="38"/>
  <c r="M20" i="38"/>
  <c r="K21" i="38"/>
  <c r="I22" i="38"/>
  <c r="G23" i="38"/>
  <c r="E24" i="38"/>
  <c r="C25" i="38"/>
  <c r="M25" i="38"/>
  <c r="K26" i="38"/>
  <c r="I27" i="38"/>
  <c r="G28" i="38"/>
  <c r="E29" i="38"/>
  <c r="M30" i="38"/>
  <c r="G16" i="37"/>
  <c r="E27" i="37"/>
  <c r="F10" i="37"/>
  <c r="F16" i="37"/>
  <c r="B24" i="37"/>
  <c r="L28" i="37"/>
  <c r="L12" i="37"/>
  <c r="G15" i="37"/>
  <c r="K12" i="37"/>
  <c r="F15" i="37"/>
  <c r="J12" i="37"/>
  <c r="B23" i="37"/>
  <c r="K30" i="37"/>
  <c r="J30" i="37"/>
  <c r="K8" i="37"/>
  <c r="I4" i="37"/>
  <c r="E7" i="37"/>
  <c r="L21" i="37"/>
  <c r="B19" i="37"/>
  <c r="H26" i="37"/>
  <c r="C7" i="37"/>
  <c r="G26" i="37"/>
  <c r="L9" i="37"/>
  <c r="B18" i="37"/>
  <c r="M8" i="37"/>
  <c r="J5" i="37"/>
  <c r="L17" i="37"/>
  <c r="H11" i="37"/>
  <c r="F19" i="37"/>
  <c r="F24" i="37"/>
  <c r="I26" i="37"/>
  <c r="M18" i="37"/>
  <c r="C18" i="37"/>
  <c r="C6" i="37"/>
  <c r="J28" i="37"/>
  <c r="E26" i="37"/>
  <c r="E15" i="37"/>
  <c r="H28" i="37"/>
  <c r="K27" i="37"/>
  <c r="G11" i="37"/>
  <c r="H4" i="37"/>
  <c r="J29" i="37"/>
  <c r="I29" i="37"/>
  <c r="H21" i="37"/>
  <c r="H15" i="37"/>
  <c r="G21" i="37"/>
  <c r="F26" i="37"/>
  <c r="H20" i="37"/>
  <c r="L11" i="37"/>
  <c r="G20" i="37"/>
  <c r="K17" i="37"/>
  <c r="L22" i="37"/>
  <c r="M29" i="37"/>
  <c r="M16" i="37"/>
  <c r="E10" i="37"/>
  <c r="M23" i="37"/>
  <c r="K28" i="37"/>
  <c r="L23" i="37"/>
  <c r="B6" i="37"/>
  <c r="L8" i="37"/>
  <c r="M22" i="37"/>
  <c r="F25" i="37"/>
  <c r="F14" i="37"/>
  <c r="J27" i="37"/>
  <c r="E25" i="37"/>
  <c r="K22" i="37"/>
  <c r="H19" i="37"/>
  <c r="B14" i="37"/>
  <c r="F11" i="37"/>
  <c r="K7" i="37"/>
  <c r="G4" i="37"/>
  <c r="B13" i="37"/>
  <c r="M12" i="37"/>
  <c r="D6" i="37"/>
  <c r="D10" i="37"/>
  <c r="K9" i="37"/>
  <c r="I20" i="37"/>
  <c r="M17" i="37"/>
  <c r="I28" i="37"/>
  <c r="I5" i="37"/>
  <c r="G25" i="37"/>
  <c r="G14" i="37"/>
  <c r="I30" i="37"/>
  <c r="F20" i="37"/>
  <c r="J8" i="37"/>
  <c r="L29" i="37"/>
  <c r="L16" i="37"/>
  <c r="M13" i="37"/>
  <c r="K29" i="37"/>
  <c r="G27" i="37"/>
  <c r="D25" i="37"/>
  <c r="G19" i="37"/>
  <c r="E11" i="37"/>
  <c r="J7" i="37"/>
  <c r="F4" i="37"/>
  <c r="F27" i="37"/>
  <c r="M21" i="37"/>
  <c r="H16" i="37"/>
  <c r="L13" i="37"/>
  <c r="G10" i="37"/>
  <c r="F7" i="37"/>
  <c r="B4" i="37"/>
  <c r="M3" i="37"/>
  <c r="L24" i="37"/>
  <c r="E20" i="37"/>
  <c r="D15" i="37"/>
  <c r="G5" i="37"/>
  <c r="H30" i="37"/>
  <c r="E28" i="37"/>
  <c r="E16" i="37"/>
  <c r="D11" i="37"/>
  <c r="H8" i="37"/>
  <c r="D28" i="37"/>
  <c r="C26" i="37"/>
  <c r="J23" i="37"/>
  <c r="F22" i="37"/>
  <c r="D20" i="37"/>
  <c r="J13" i="37"/>
  <c r="D8" i="37"/>
  <c r="F5" i="37"/>
  <c r="C27" i="37"/>
  <c r="F17" i="37"/>
  <c r="D16" i="37"/>
  <c r="K14" i="37"/>
  <c r="C11" i="37"/>
  <c r="I9" i="37"/>
  <c r="C8" i="37"/>
  <c r="I8" i="37"/>
  <c r="D26" i="37"/>
  <c r="F21" i="37"/>
  <c r="L18" i="37"/>
  <c r="B7" i="37"/>
  <c r="D27" i="37"/>
  <c r="J17" i="37"/>
  <c r="F12" i="37"/>
  <c r="J9" i="37"/>
  <c r="G29" i="37"/>
  <c r="K24" i="37"/>
  <c r="E21" i="37"/>
  <c r="K18" i="37"/>
  <c r="L14" i="37"/>
  <c r="E12" i="37"/>
  <c r="M6" i="37"/>
  <c r="K3" i="37"/>
  <c r="G30" i="37"/>
  <c r="F29" i="37"/>
  <c r="C28" i="37"/>
  <c r="B26" i="37"/>
  <c r="J24" i="37"/>
  <c r="I23" i="37"/>
  <c r="E22" i="37"/>
  <c r="D21" i="37"/>
  <c r="L19" i="37"/>
  <c r="J18" i="37"/>
  <c r="E17" i="37"/>
  <c r="I13" i="37"/>
  <c r="D12" i="37"/>
  <c r="L6" i="37"/>
  <c r="E5" i="37"/>
  <c r="J3" i="37"/>
  <c r="J22" i="37"/>
  <c r="F30" i="37"/>
  <c r="B27" i="37"/>
  <c r="K19" i="37"/>
  <c r="C16" i="37"/>
  <c r="J14" i="37"/>
  <c r="B11" i="37"/>
  <c r="H9" i="37"/>
  <c r="B8" i="37"/>
  <c r="H6" i="37"/>
  <c r="H29" i="37"/>
  <c r="H23" i="37"/>
  <c r="I14" i="37"/>
  <c r="G9" i="37"/>
  <c r="M7" i="37"/>
  <c r="L4" i="37"/>
  <c r="K23" i="37"/>
  <c r="K13" i="37"/>
  <c r="C29" i="37"/>
  <c r="B28" i="37"/>
  <c r="J25" i="37"/>
  <c r="I24" i="37"/>
  <c r="D22" i="37"/>
  <c r="C21" i="37"/>
  <c r="I18" i="37"/>
  <c r="D17" i="37"/>
  <c r="H13" i="37"/>
  <c r="C12" i="37"/>
  <c r="J10" i="37"/>
  <c r="G6" i="37"/>
  <c r="D5" i="37"/>
  <c r="I3" i="37"/>
  <c r="E30" i="37"/>
  <c r="B29" i="37"/>
  <c r="M26" i="37"/>
  <c r="J19" i="37"/>
  <c r="B16" i="37"/>
  <c r="I10" i="37"/>
  <c r="M27" i="37"/>
  <c r="I25" i="37"/>
  <c r="H24" i="37"/>
  <c r="D23" i="37"/>
  <c r="C22" i="37"/>
  <c r="B21" i="37"/>
  <c r="H18" i="37"/>
  <c r="C17" i="37"/>
  <c r="D13" i="37"/>
  <c r="B12" i="37"/>
  <c r="K4" i="37"/>
  <c r="H3" i="37"/>
  <c r="D30" i="37"/>
  <c r="M28" i="37"/>
  <c r="L26" i="37"/>
  <c r="I19" i="37"/>
  <c r="J15" i="37"/>
  <c r="H14" i="37"/>
  <c r="C13" i="37"/>
  <c r="H10" i="37"/>
  <c r="F9" i="37"/>
  <c r="L7" i="37"/>
  <c r="E6" i="37"/>
  <c r="D3" i="37"/>
  <c r="L27" i="37"/>
  <c r="H25" i="37"/>
  <c r="G24" i="37"/>
  <c r="C23" i="37"/>
  <c r="B22" i="37"/>
  <c r="J20" i="37"/>
  <c r="D18" i="37"/>
  <c r="B17" i="37"/>
  <c r="I15" i="37"/>
  <c r="M11" i="37"/>
  <c r="B9" i="37"/>
  <c r="C3" i="37"/>
  <c r="M30" i="37"/>
  <c r="C30" i="37"/>
  <c r="E29" i="37"/>
  <c r="G28" i="37"/>
  <c r="I27" i="37"/>
  <c r="K26" i="37"/>
  <c r="M25" i="37"/>
  <c r="E24" i="37"/>
  <c r="G23" i="37"/>
  <c r="I22" i="37"/>
  <c r="K21" i="37"/>
  <c r="M20" i="37"/>
  <c r="C20" i="37"/>
  <c r="E19" i="37"/>
  <c r="G18" i="37"/>
  <c r="I17" i="37"/>
  <c r="K16" i="37"/>
  <c r="M15" i="37"/>
  <c r="C15" i="37"/>
  <c r="E14" i="37"/>
  <c r="G13" i="37"/>
  <c r="I12" i="37"/>
  <c r="K11" i="37"/>
  <c r="M10" i="37"/>
  <c r="C10" i="37"/>
  <c r="E9" i="37"/>
  <c r="G8" i="37"/>
  <c r="I7" i="37"/>
  <c r="K6" i="37"/>
  <c r="M5" i="37"/>
  <c r="C5" i="37"/>
  <c r="G3" i="37"/>
  <c r="L30" i="37"/>
  <c r="B30" i="37"/>
  <c r="D29" i="37"/>
  <c r="F28" i="37"/>
  <c r="H27" i="37"/>
  <c r="L25" i="37"/>
  <c r="B25" i="37"/>
  <c r="D24" i="37"/>
  <c r="F23" i="37"/>
  <c r="H22" i="37"/>
  <c r="J21" i="37"/>
  <c r="L20" i="37"/>
  <c r="B20" i="37"/>
  <c r="D19" i="37"/>
  <c r="F18" i="37"/>
  <c r="H17" i="37"/>
  <c r="J16" i="37"/>
  <c r="L15" i="37"/>
  <c r="B15" i="37"/>
  <c r="D14" i="37"/>
  <c r="F13" i="37"/>
  <c r="H12" i="37"/>
  <c r="J11" i="37"/>
  <c r="L10" i="37"/>
  <c r="B10" i="37"/>
  <c r="D9" i="37"/>
  <c r="F8" i="37"/>
  <c r="H7" i="37"/>
  <c r="J6" i="37"/>
  <c r="L5" i="37"/>
  <c r="B5" i="37"/>
  <c r="D4" i="37"/>
  <c r="F3" i="37"/>
  <c r="C25" i="37"/>
  <c r="E4" i="37"/>
  <c r="J26" i="37"/>
  <c r="I16" i="37"/>
  <c r="K15" i="37"/>
  <c r="M14" i="37"/>
  <c r="C14" i="37"/>
  <c r="E13" i="37"/>
  <c r="I11" i="37"/>
  <c r="K10" i="37"/>
  <c r="M9" i="37"/>
  <c r="C9" i="37"/>
  <c r="E8" i="37"/>
  <c r="G7" i="37"/>
  <c r="I6" i="37"/>
  <c r="K5" i="37"/>
  <c r="M4" i="37"/>
  <c r="C4" i="37"/>
  <c r="E3" i="37"/>
  <c r="K25" i="37"/>
  <c r="M24" i="37"/>
  <c r="C24" i="37"/>
  <c r="E23" i="37"/>
  <c r="G22" i="37"/>
  <c r="I21" i="37"/>
  <c r="K20" i="37"/>
  <c r="M19" i="37"/>
  <c r="C19" i="37"/>
  <c r="E18" i="37"/>
  <c r="G17" i="37"/>
  <c r="G12" i="37"/>
  <c r="D7" i="37"/>
  <c r="F6" i="37"/>
  <c r="H5" i="37"/>
  <c r="J4" i="37"/>
  <c r="L3" i="37"/>
  <c r="B3" i="37"/>
  <c r="AA2" i="2"/>
  <c r="Z2" i="2"/>
  <c r="Y2" i="2"/>
  <c r="X2" i="2"/>
  <c r="W2" i="2"/>
  <c r="V2" i="2"/>
  <c r="U2" i="2"/>
  <c r="T2" i="2"/>
  <c r="S2" i="2"/>
  <c r="R2" i="2"/>
  <c r="Q2" i="2"/>
  <c r="P2" i="2"/>
  <c r="M2" i="2"/>
  <c r="C2" i="2"/>
  <c r="D2" i="2"/>
  <c r="E2" i="2"/>
  <c r="F2" i="2"/>
  <c r="G2" i="2"/>
  <c r="H2" i="2"/>
  <c r="I2" i="2"/>
  <c r="J2" i="2"/>
  <c r="K2" i="2"/>
  <c r="L2" i="2"/>
  <c r="B2" i="2"/>
  <c r="AD17" i="36"/>
  <c r="AD18" i="36"/>
  <c r="AD36" i="36"/>
  <c r="AD37" i="36"/>
  <c r="AC17" i="36"/>
  <c r="AC18" i="36"/>
  <c r="AC36" i="36"/>
  <c r="AC37" i="36"/>
  <c r="AB17" i="36"/>
  <c r="AB18" i="36"/>
  <c r="AB36" i="36"/>
  <c r="AB37" i="36"/>
  <c r="AA17" i="36"/>
  <c r="AA18" i="36"/>
  <c r="AA36" i="36"/>
  <c r="AA37" i="36"/>
  <c r="Z17" i="36"/>
  <c r="Z18" i="36"/>
  <c r="Z36" i="36"/>
  <c r="Z37" i="36"/>
  <c r="Y17" i="36"/>
  <c r="Y18" i="36"/>
  <c r="Y36" i="36"/>
  <c r="Y37" i="36"/>
  <c r="X17" i="36"/>
  <c r="X18" i="36"/>
  <c r="X36" i="36"/>
  <c r="X37" i="36"/>
  <c r="W17" i="36"/>
  <c r="W18" i="36"/>
  <c r="W36" i="36"/>
  <c r="W37" i="36"/>
  <c r="V17" i="36"/>
  <c r="V18" i="36"/>
  <c r="V36" i="36"/>
  <c r="V37" i="36"/>
  <c r="U17" i="36"/>
  <c r="U18" i="36"/>
  <c r="U36" i="36"/>
  <c r="U37" i="36"/>
  <c r="T17" i="36"/>
  <c r="T18" i="36"/>
  <c r="T36" i="36"/>
  <c r="T37" i="36"/>
  <c r="S17" i="36"/>
  <c r="S18" i="36"/>
  <c r="S36" i="36"/>
  <c r="S37" i="36"/>
  <c r="R17" i="36"/>
  <c r="R18" i="36"/>
  <c r="R36" i="36"/>
  <c r="R37" i="36"/>
  <c r="Q17" i="36"/>
  <c r="Q18" i="36"/>
  <c r="Q36" i="36"/>
  <c r="Q37" i="36"/>
  <c r="P17" i="36"/>
  <c r="P18" i="36"/>
  <c r="P36" i="36"/>
  <c r="P37" i="36"/>
  <c r="O17" i="36"/>
  <c r="O18" i="36"/>
  <c r="O36" i="36"/>
  <c r="O37" i="36"/>
  <c r="N17" i="36"/>
  <c r="N18" i="36"/>
  <c r="N36" i="36"/>
  <c r="N37" i="36"/>
  <c r="M17" i="36"/>
  <c r="M18" i="36"/>
  <c r="M36" i="36"/>
  <c r="M37" i="36"/>
  <c r="L17" i="36"/>
  <c r="L18" i="36"/>
  <c r="L36" i="36"/>
  <c r="L37" i="36"/>
  <c r="K17" i="36"/>
  <c r="K18" i="36"/>
  <c r="K36" i="36"/>
  <c r="K37" i="36"/>
  <c r="J17" i="36"/>
  <c r="J18" i="36"/>
  <c r="J36" i="36"/>
  <c r="J37" i="36"/>
  <c r="I17" i="36"/>
  <c r="I18" i="36"/>
  <c r="I36" i="36"/>
  <c r="I37" i="36"/>
  <c r="H17" i="36"/>
  <c r="H18" i="36"/>
  <c r="H36" i="36"/>
  <c r="H37" i="36"/>
  <c r="G17" i="36"/>
  <c r="G18" i="36"/>
  <c r="G36" i="36"/>
  <c r="G37" i="36"/>
  <c r="F17" i="36"/>
  <c r="F18" i="36"/>
  <c r="F36" i="36"/>
  <c r="F37" i="36"/>
  <c r="E17" i="36"/>
  <c r="E18" i="36"/>
  <c r="E36" i="36"/>
  <c r="E37" i="36"/>
  <c r="C37" i="36"/>
  <c r="B36" i="36"/>
  <c r="C36" i="36"/>
  <c r="D36" i="36"/>
  <c r="D37" i="36"/>
  <c r="B37" i="36"/>
  <c r="C18" i="36"/>
  <c r="D18" i="36"/>
  <c r="B18" i="36"/>
  <c r="D17" i="36"/>
  <c r="C17" i="36"/>
  <c r="B17" i="33"/>
  <c r="B17" i="36"/>
  <c r="C18" i="33"/>
  <c r="D18" i="33"/>
  <c r="E18" i="33"/>
  <c r="F18" i="33"/>
  <c r="G18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B18" i="33"/>
  <c r="C17" i="33"/>
  <c r="D17" i="33"/>
  <c r="E17" i="33"/>
  <c r="F17" i="33"/>
  <c r="G17" i="33"/>
  <c r="H17" i="33"/>
  <c r="I17" i="33"/>
  <c r="J17" i="33"/>
  <c r="K17" i="33"/>
  <c r="L17" i="33"/>
  <c r="M17" i="33"/>
  <c r="N17" i="33"/>
  <c r="O17" i="33"/>
  <c r="P17" i="33"/>
  <c r="Q17" i="33"/>
  <c r="R17" i="33"/>
  <c r="S17" i="33"/>
  <c r="T17" i="33"/>
  <c r="U17" i="33"/>
  <c r="V17" i="33"/>
  <c r="W17" i="33"/>
  <c r="X17" i="33"/>
  <c r="Y17" i="33"/>
  <c r="Z17" i="33"/>
  <c r="AA17" i="33"/>
  <c r="AB17" i="33"/>
  <c r="AC17" i="33"/>
  <c r="AD17" i="33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L2" i="38" a="1"/>
  <c r="C2" i="37" a="1"/>
  <c r="J2" i="37" a="1"/>
  <c r="H2" i="38" a="1"/>
  <c r="G2" i="38" a="1"/>
  <c r="B2" i="38" a="1"/>
  <c r="L2" i="37" a="1"/>
  <c r="J2" i="38" a="1"/>
  <c r="E2" i="37" a="1"/>
  <c r="G2" i="37" a="1"/>
  <c r="I2" i="38" a="1"/>
  <c r="K2" i="38" a="1"/>
  <c r="B2" i="37" a="1"/>
  <c r="M2" i="38" a="1"/>
  <c r="E2" i="38" a="1"/>
  <c r="I2" i="37" a="1"/>
  <c r="D2" i="38" a="1"/>
  <c r="F2" i="37" a="1"/>
  <c r="K2" i="37" a="1"/>
  <c r="C2" i="38" a="1"/>
  <c r="F2" i="38" a="1"/>
  <c r="D2" i="37" a="1"/>
  <c r="M2" i="37" a="1"/>
  <c r="H2" i="37" a="1"/>
  <c r="D2" i="38" l="1"/>
  <c r="E2" i="38"/>
  <c r="F2" i="38"/>
  <c r="G2" i="38"/>
  <c r="B2" i="38"/>
  <c r="J2" i="38"/>
  <c r="K2" i="38"/>
  <c r="L2" i="38"/>
  <c r="C2" i="38"/>
  <c r="I2" i="38"/>
  <c r="M2" i="38"/>
  <c r="H2" i="38"/>
  <c r="B2" i="37"/>
  <c r="L2" i="37"/>
  <c r="K2" i="37"/>
  <c r="J2" i="37"/>
  <c r="I2" i="37"/>
  <c r="H2" i="37"/>
  <c r="G2" i="37"/>
  <c r="F2" i="37"/>
  <c r="E2" i="37"/>
  <c r="D2" i="37"/>
  <c r="C2" i="37"/>
  <c r="M2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tc={9A61770A-2C5D-4A1C-973C-DE76095D5388}</author>
  </authors>
  <commentList>
    <comment ref="U27" authorId="0" shapeId="0" xr:uid="{9A61770A-2C5D-4A1C-973C-DE76095D5388}">
      <text>
        <t>[Threaded comment]
Your version of Excel allows you to read this threaded comment; however, any edits to it will get removed if the file is opened in a newer version of Excel. Learn more: https://go.microsoft.com/fwlink/?linkid=870924
Comment:
    U podacima je 1000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31923-B7B1-4DB9-8568-6CF1BB9599D8}" keepAlive="1" name="Query - Page001" description="Connection to the 'Page001' query in the workbook." type="5" refreshedVersion="6" background="1">
    <dbPr connection="Provider=Microsoft.Mashup.OleDb.1;Data Source=$Workbook$;Location=Page001;Extended Properties=&quot;&quot;" command="SELECT * FROM [Page001]"/>
  </connection>
  <connection id="2" xr16:uid="{A6A50BE0-9EFB-41D7-A13E-55A8293035F8}" keepAlive="1" name="Query - Page001 (2)" description="Connection to the 'Page001 (2)' query in the workbook." type="5" refreshedVersion="6" background="1">
    <dbPr connection="Provider=Microsoft.Mashup.OleDb.1;Data Source=$Workbook$;Location=&quot;Page001 (2)&quot;;Extended Properties=&quot;&quot;" command="SELECT * FROM [Page001 (2)]"/>
  </connection>
  <connection id="3" xr16:uid="{9ED6259E-FF0B-4C20-8E52-61593867A81A}" keepAlive="1" name="Query - Table001 (Page 1)" description="Connection to the 'Table001 (Page 1)' query in the workbook." type="5" refreshedVersion="6" background="1">
    <dbPr connection="Provider=Microsoft.Mashup.OleDb.1;Data Source=$Workbook$;Location=&quot;Table001 (Page 1)&quot;;Extended Properties=&quot;&quot;" command="SELECT * FROM [Table001 (Page 1)]"/>
  </connection>
  <connection id="4" xr16:uid="{2D488495-51C2-4647-BAB8-7AB344CB43C4}" keepAlive="1" name="Query - Table001 (Page 1) (10)" description="Connection to the 'Table001 (Page 1) (10)' query in the workbook." type="5" refreshedVersion="6" background="1">
    <dbPr connection="Provider=Microsoft.Mashup.OleDb.1;Data Source=$Workbook$;Location=&quot;Table001 (Page 1) (10)&quot;;Extended Properties=&quot;&quot;" command="SELECT * FROM [Table001 (Page 1) (10)]"/>
  </connection>
  <connection id="5" xr16:uid="{18484F73-F7A1-4013-9607-AF73C84C6D85}" keepAlive="1" name="Query - Table001 (Page 1) (11)" description="Connection to the 'Table001 (Page 1) (11)' query in the workbook." type="5" refreshedVersion="6" background="1">
    <dbPr connection="Provider=Microsoft.Mashup.OleDb.1;Data Source=$Workbook$;Location=&quot;Table001 (Page 1) (11)&quot;;Extended Properties=&quot;&quot;" command="SELECT * FROM [Table001 (Page 1) (11)]"/>
  </connection>
  <connection id="6" xr16:uid="{1BA88C4A-3030-4FF5-86A6-F62604E94A6C}" keepAlive="1" name="Query - Table001 (Page 1) (12)" description="Connection to the 'Table001 (Page 1) (12)' query in the workbook." type="5" refreshedVersion="6" background="1">
    <dbPr connection="Provider=Microsoft.Mashup.OleDb.1;Data Source=$Workbook$;Location=&quot;Table001 (Page 1) (12)&quot;;Extended Properties=&quot;&quot;" command="SELECT * FROM [Table001 (Page 1) (12)]"/>
  </connection>
  <connection id="7" xr16:uid="{71303E02-7B5D-4A8A-A088-171E230F4CA5}" keepAlive="1" name="Query - Table001 (Page 1) (2)" description="Connection to the 'Table001 (Page 1) (2)' query in the workbook." type="5" refreshedVersion="6" background="1">
    <dbPr connection="Provider=Microsoft.Mashup.OleDb.1;Data Source=$Workbook$;Location=&quot;Table001 (Page 1) (2)&quot;;Extended Properties=&quot;&quot;" command="SELECT * FROM [Table001 (Page 1) (2)]"/>
  </connection>
  <connection id="8" xr16:uid="{E7D1D80A-B2E4-4CD2-89AA-36FF8523F2A6}" keepAlive="1" name="Query - Table001 (Page 1) (3)" description="Connection to the 'Table001 (Page 1) (3)' query in the workbook." type="5" refreshedVersion="6" background="1">
    <dbPr connection="Provider=Microsoft.Mashup.OleDb.1;Data Source=$Workbook$;Location=&quot;Table001 (Page 1) (3)&quot;;Extended Properties=&quot;&quot;" command="SELECT * FROM [Table001 (Page 1) (3)]"/>
  </connection>
  <connection id="9" xr16:uid="{57615E13-BF20-4E91-A58E-E3842833EC86}" keepAlive="1" name="Query - Table001 (Page 1) (4)" description="Connection to the 'Table001 (Page 1) (4)' query in the workbook." type="5" refreshedVersion="6" background="1">
    <dbPr connection="Provider=Microsoft.Mashup.OleDb.1;Data Source=$Workbook$;Location=&quot;Table001 (Page 1) (4)&quot;;Extended Properties=&quot;&quot;" command="SELECT * FROM [Table001 (Page 1) (4)]"/>
  </connection>
  <connection id="10" xr16:uid="{AD15E142-9DCB-4D03-AAD1-74D1C8590B61}" keepAlive="1" name="Query - Table001 (Page 1) (5)" description="Connection to the 'Table001 (Page 1) (5)' query in the workbook." type="5" refreshedVersion="6" background="1">
    <dbPr connection="Provider=Microsoft.Mashup.OleDb.1;Data Source=$Workbook$;Location=&quot;Table001 (Page 1) (5)&quot;;Extended Properties=&quot;&quot;" command="SELECT * FROM [Table001 (Page 1) (5)]"/>
  </connection>
  <connection id="11" xr16:uid="{4DB90C5E-8CE9-4A8C-B25A-252331392EA7}" keepAlive="1" name="Query - Table001 (Page 1) (6)" description="Connection to the 'Table001 (Page 1) (6)' query in the workbook." type="5" refreshedVersion="6" background="1">
    <dbPr connection="Provider=Microsoft.Mashup.OleDb.1;Data Source=$Workbook$;Location=&quot;Table001 (Page 1) (6)&quot;;Extended Properties=&quot;&quot;" command="SELECT * FROM [Table001 (Page 1) (6)]"/>
  </connection>
  <connection id="12" xr16:uid="{8D1401FE-469C-4278-B5B4-0E9391BB8A71}" keepAlive="1" name="Query - Table001 (Page 1) (7)" description="Connection to the 'Table001 (Page 1) (7)' query in the workbook." type="5" refreshedVersion="6" background="1">
    <dbPr connection="Provider=Microsoft.Mashup.OleDb.1;Data Source=$Workbook$;Location=&quot;Table001 (Page 1) (7)&quot;;Extended Properties=&quot;&quot;" command="SELECT * FROM [Table001 (Page 1) (7)]"/>
  </connection>
  <connection id="13" xr16:uid="{E0C1036B-F2CB-4FEF-8A10-2868E2CB8A3F}" keepAlive="1" name="Query - Table001 (Page 1) (8)" description="Connection to the 'Table001 (Page 1) (8)' query in the workbook." type="5" refreshedVersion="6" background="1">
    <dbPr connection="Provider=Microsoft.Mashup.OleDb.1;Data Source=$Workbook$;Location=&quot;Table001 (Page 1) (8)&quot;;Extended Properties=&quot;&quot;" command="SELECT * FROM [Table001 (Page 1) (8)]"/>
  </connection>
  <connection id="14" xr16:uid="{CCF4059B-7C91-4F94-B26E-693DD90EC6C3}" keepAlive="1" name="Query - Table001 (Page 1) (9)" description="Connection to the 'Table001 (Page 1) (9)' query in the workbook." type="5" refreshedVersion="6" background="1">
    <dbPr connection="Provider=Microsoft.Mashup.OleDb.1;Data Source=$Workbook$;Location=&quot;Table001 (Page 1) (9)&quot;;Extended Properties=&quot;&quot;" command="SELECT * FROM [Table001 (Page 1)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<sst xmlns="http://schemas.openxmlformats.org/spreadsheetml/2006/main" count="1817" uniqueCount="112">
  <si>
    <t>Bjelovar</t>
  </si>
  <si>
    <t>Srednje mjesečne i godišnje temperature zraka</t>
  </si>
  <si>
    <t>godina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</si>
  <si>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</si>
  <si>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</si>
  <si>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</si>
  <si>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</si>
  <si>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</si>
  <si>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</si>
  <si>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</si>
  <si>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</si>
  <si>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</si>
  <si>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</si>
  <si>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</si>
  <si>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</si>
  <si>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siječanj</t>
  </si>
  <si>
    <t>veljača</t>
  </si>
  <si>
    <t>ožujak</t>
  </si>
  <si>
    <t>travanj</t>
  </si>
  <si>
    <t>svibanj</t>
  </si>
  <si>
    <t>lipanj</t>
  </si>
  <si>
    <t>srpanj</t>
  </si>
  <si>
    <t>kolovoz</t>
  </si>
  <si>
    <t>rujan</t>
  </si>
  <si>
    <t>listopad</t>
  </si>
  <si>
    <t>studeni</t>
  </si>
  <si>
    <t>prosinac</t>
  </si>
  <si>
    <t>stdev</t>
  </si>
  <si>
    <t>Dubrovnik</t>
  </si>
  <si>
    <t>Zadar</t>
  </si>
  <si>
    <t>Daruvar</t>
  </si>
  <si>
    <t>Gospić</t>
  </si>
  <si>
    <t>Hvar</t>
  </si>
  <si>
    <t>Karlovac</t>
  </si>
  <si>
    <t>Knin</t>
  </si>
  <si>
    <t>Komiža</t>
  </si>
  <si>
    <t>Makarska</t>
  </si>
  <si>
    <t>Ogulin</t>
  </si>
  <si>
    <t>Osijek</t>
  </si>
  <si>
    <t>Parg</t>
  </si>
  <si>
    <t>Pazin</t>
  </si>
  <si>
    <t>Ploče</t>
  </si>
  <si>
    <t>Pula</t>
  </si>
  <si>
    <t>Puntijaka</t>
  </si>
  <si>
    <t>Rab</t>
  </si>
  <si>
    <t>Rijeka</t>
  </si>
  <si>
    <t>Senj</t>
  </si>
  <si>
    <t>Sisak</t>
  </si>
  <si>
    <t>Split</t>
  </si>
  <si>
    <t>Šibenik</t>
  </si>
  <si>
    <t>Varaždin</t>
  </si>
  <si>
    <t>Zavižan</t>
  </si>
  <si>
    <t>Srednje mjesečne i godišnje količine oborina [mm]</t>
  </si>
  <si>
    <t>Srednjak</t>
  </si>
  <si>
    <t>v</t>
  </si>
  <si>
    <t>Mali Lošinj</t>
  </si>
  <si>
    <t>Zagreb Grič</t>
  </si>
  <si>
    <t>Zagreb Maksimir</t>
  </si>
  <si>
    <t>Slavonski Brod</t>
  </si>
  <si>
    <t>Puntijarka</t>
  </si>
  <si>
    <t>srednjak</t>
  </si>
  <si>
    <t>ukupno</t>
  </si>
  <si>
    <t>Broj dana sa snježnim pokrivačem većim od 1 cm</t>
  </si>
  <si>
    <t>...</t>
  </si>
  <si>
    <t>71</t>
  </si>
  <si>
    <t>58</t>
  </si>
  <si>
    <t>77</t>
  </si>
  <si>
    <t>65</t>
  </si>
  <si>
    <t>59</t>
  </si>
  <si>
    <t>72</t>
  </si>
  <si>
    <t>61</t>
  </si>
  <si>
    <t>75</t>
  </si>
  <si>
    <t>60</t>
  </si>
  <si>
    <t>64</t>
  </si>
  <si>
    <t>73</t>
  </si>
  <si>
    <t>78</t>
  </si>
  <si>
    <t>76</t>
  </si>
  <si>
    <t>54</t>
  </si>
  <si>
    <t>69</t>
  </si>
  <si>
    <t>68</t>
  </si>
  <si>
    <t>82</t>
  </si>
  <si>
    <t>Vedri dani</t>
  </si>
  <si>
    <t>Oblačni dani</t>
  </si>
  <si>
    <t>/</t>
  </si>
  <si>
    <t>171,31</t>
  </si>
  <si>
    <t>Postaja</t>
  </si>
  <si>
    <t>B2</t>
  </si>
  <si>
    <t>Pomoćna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</si>
  <si>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</si>
  <si>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</si>
  <si>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</si>
  <si>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</si>
  <si>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</si>
  <si>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</si>
  <si>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</si>
  <si>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</si>
  <si>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</si>
  <si>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</si>
  <si>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</si>
  <si>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P2</t>
  </si>
  <si>
    <t>Q2</t>
  </si>
  <si>
    <t>R2</t>
  </si>
  <si>
    <t>S2</t>
  </si>
  <si>
    <t>T2</t>
  </si>
  <si>
    <t>U2</t>
  </si>
  <si>
    <t>V2</t>
  </si>
  <si>
    <t>W2</t>
  </si>
  <si>
    <t>X2</t>
  </si>
  <si>
    <t>Y2</t>
  </si>
  <si>
    <t>Z2</t>
  </si>
  <si>
    <t>AA2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</si>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</sst>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8"/>
      <name val="Calibri"/>
      <family val="2"/>
      <scheme val="minor"/>
    </font>
    <font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A0D26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3" fillId="0" borderId="0" xfId="0" applyFont="1"/>
    <xf numFmtId="164" fontId="0" fillId="0" borderId="0" xfId="0" applyNumberFormat="1"/>
    <xf numFmtId="164" fontId="4" fillId="0" borderId="0" xfId="0" applyNumberFormat="1" applyFont="1" applyAlignment="1">
      <alignment vertical="top"/>
    </xf>
    <xf numFmtId="164" fontId="5" fillId="0" borderId="0" xfId="0" applyNumberFormat="1" applyFont="1"/>
    <xf numFmtId="2" fontId="0" fillId="0" borderId="0" xfId="0" applyNumberFormat="1"/>
    <xf numFmtId="164" fontId="4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/>
    </xf>
    <xf numFmtId="0" fontId="2" fillId="0" borderId="0" xfId="0" applyFont="1"/>
    <xf numFmtId="0" fontId="4" fillId="0" borderId="0" xfId="0" applyFont="1" applyAlignment="1">
      <alignment vertical="top"/>
    </xf>
    <xf numFmtId="164" fontId="4" fillId="0" borderId="0" xfId="0" applyNumberFormat="1" applyFont="1"/>
    <xf numFmtId="0" fontId="7" fillId="0" borderId="0" xfId="0" applyFont="1"/>
    <xf numFmtId="0" fontId="7" fillId="0" borderId="0" xfId="0" applyFont="1" applyAlignment="1">
      <alignment vertical="top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top"/>
    </xf>
    <xf numFmtId="164" fontId="0" fillId="0" borderId="0" xfId="0" applyNumberFormat="1" applyAlignment="1">
      <alignment horizontal="right"/>
    </xf>
    <xf numFmtId="16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top" indent="1"/>
    </xf>
    <xf numFmtId="164" fontId="7" fillId="0" borderId="0" xfId="0" applyNumberFormat="1" applyFont="1"/>
    <xf numFmtId="164" fontId="7" fillId="0" borderId="0" xfId="0" applyNumberFormat="1" applyFont="1" applyAlignment="1">
      <alignment vertical="top"/>
    </xf>
    <xf numFmtId="0" fontId="7" fillId="0" borderId="1" xfId="0" applyFont="1" applyBorder="1" applyAlignment="1">
      <alignment horizontal="right" vertical="top"/>
    </xf>
    <xf numFmtId="0" fontId="4" fillId="0" borderId="0" xfId="0" applyFont="1" applyAlignment="1">
      <alignment horizontal="right" vertical="top"/>
    </xf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2" borderId="0" xfId="0" applyFill="1"/>
    <xf numFmtId="1" fontId="0" fillId="2" borderId="0" xfId="0" applyNumberFormat="1" applyFill="1"/>
    <xf numFmtId="2" fontId="0" fillId="2" borderId="0" xfId="0" applyNumberFormat="1" applyFill="1"/>
    <xf numFmtId="0" fontId="5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/>
    <xf numFmtId="1" fontId="3" fillId="0" borderId="0" xfId="0" applyNumberFormat="1" applyFont="1"/>
    <xf numFmtId="164" fontId="3" fillId="0" borderId="0" xfId="0" applyNumberFormat="1" applyFont="1"/>
    <xf numFmtId="1" fontId="5" fillId="0" borderId="0" xfId="0" applyNumberFormat="1" applyFont="1"/>
    <xf numFmtId="164" fontId="1" fillId="0" borderId="0" xfId="0" applyNumberFormat="1" applyFont="1"/>
  </cellXfs>
  <cellStyles count="2">
    <cellStyle name="Normal" xfId="0" builtinId="0"/>
    <cellStyle name="Normal 2" xfId="1" xr:uid="{C3ECF4B2-19A6-4070-8356-22E9BB39F6D5}"/>
  </cellStyles>
  <dxfs count="0"/>
  <tableStyles count="0" defaultTableStyle="TableStyleMedium2" defaultPivotStyle="PivotStyleLight16"/>
  <colors>
    <mruColors>
      <color rgb="FFD9D9D9"/>
      <color rgb="FF595959"/>
      <color rgb="FF8C8984"/>
      <color rgb="FF657869"/>
      <color rgb="FFA63F52"/>
      <color rgb="FF28501E"/>
      <color rgb="FFA0D26E"/>
      <color rgb="FFFF6A2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islav Harambašić- Dvokut ECRO" id="{CA793DE5-EA49-439C-B22F-E935908B53C6}" userId="S::tomislav.harambasic@dvokut-ecro.hr::063502be-07eb-4bd2-9728-ac66a6edd8d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27" dT="2020-08-07T10:23:58.17" personId="{CA793DE5-EA49-439C-B22F-E935908B53C6}" id="{9A61770A-2C5D-4A1C-973C-DE76095D5388}">
    <text>U podacima je 1000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BD75-24FC-420A-8A68-A06129A575F9}">
  <dimension ref="A1:M31"/>
  <sheetViews>
    <sheetView tabSelected="1" workbookViewId="0">
      <selection activeCell="G14" sqref="G14"/>
    </sheetView>
  </sheetViews>
  <sheetFormatPr defaultRowHeight="15" x14ac:dyDescent="0.25"/>
  <cols>
    <col min="1" max="1" width="15.28515625" bestFit="1" customWidth="1"/>
  </cols>
  <sheetData>
    <row r="1" spans="1:13" x14ac:dyDescent="0.25">
      <c r="A1" t="s">
        <v>85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25">
      <c r="A2" t="s">
        <v>0</v>
      </c>
      <c r="B2" s="2" cm="1">
        <f t="array" aca="1" ref="B2" ca="1">INDIRECT("'"&amp;$A2&amp;"'!"&amp;B$31)</f>
        <v>1.0900000000000001</v>
      </c>
      <c r="C2" s="2" cm="1">
        <f t="array" aca="1" ref="C2" ca="1">INDIRECT("'"&amp;$A2&amp;"'!"&amp;C$31)</f>
        <v>3.5233333333333343</v>
      </c>
      <c r="D2" s="2" cm="1">
        <f t="array" aca="1" ref="D2" ca="1">INDIRECT("'"&amp;$A2&amp;"'!"&amp;D$31)</f>
        <v>7.4499999999999993</v>
      </c>
      <c r="E2" s="2" cm="1">
        <f t="array" aca="1" ref="E2" ca="1">INDIRECT("'"&amp;$A2&amp;"'!"&amp;E$31)</f>
        <v>12.393333333333334</v>
      </c>
      <c r="F2" s="2" cm="1">
        <f t="array" aca="1" ref="F2" ca="1">INDIRECT("'"&amp;$A2&amp;"'!"&amp;F$31)</f>
        <v>17.133333333333333</v>
      </c>
      <c r="G2" s="2" cm="1">
        <f t="array" aca="1" ref="G2" ca="1">INDIRECT("'"&amp;$A2&amp;"'!"&amp;G$31)</f>
        <v>21.25333333333333</v>
      </c>
      <c r="H2" s="2" cm="1">
        <f t="array" aca="1" ref="H2" ca="1">INDIRECT("'"&amp;$A2&amp;"'!"&amp;H$31)</f>
        <v>22.713333333333335</v>
      </c>
      <c r="I2" s="2" cm="1">
        <f t="array" aca="1" ref="I2" ca="1">INDIRECT("'"&amp;$A2&amp;"'!"&amp;I$31)</f>
        <v>22.007333333333325</v>
      </c>
      <c r="J2" s="2" cm="1">
        <f t="array" aca="1" ref="J2" ca="1">INDIRECT("'"&amp;$A2&amp;"'!"&amp;J$31)</f>
        <v>16.593333333333334</v>
      </c>
      <c r="K2" s="2" cm="1">
        <f t="array" aca="1" ref="K2" ca="1">INDIRECT("'"&amp;$A2&amp;"'!"&amp;K$31)</f>
        <v>11.899999999999999</v>
      </c>
      <c r="L2" s="2" cm="1">
        <f t="array" aca="1" ref="L2" ca="1">INDIRECT("'"&amp;$A2&amp;"'!"&amp;L$31)</f>
        <v>6.71</v>
      </c>
      <c r="M2" s="2" cm="1">
        <f t="array" aca="1" ref="M2" ca="1">INDIRECT("'"&amp;$A2&amp;"'!"&amp;M$31)</f>
        <v>2.0833333333333335</v>
      </c>
    </row>
    <row r="3" spans="1:13" x14ac:dyDescent="0.25">
      <c r="A3" t="s">
        <v>30</v>
      </c>
      <c r="B3" s="2" cm="1">
        <f t="array" aca="1" ref="B3" ca="1">INDIRECT("'"&amp;$A3&amp;"'!"&amp;B$31)</f>
        <v>1.1866666666666668</v>
      </c>
      <c r="C3" s="2" cm="1">
        <f t="array" aca="1" ref="C3" ca="1">INDIRECT("'"&amp;$A3&amp;"'!"&amp;C$31)</f>
        <v>3.25</v>
      </c>
      <c r="D3" s="2" cm="1">
        <f t="array" aca="1" ref="D3" ca="1">INDIRECT("'"&amp;$A3&amp;"'!"&amp;D$31)</f>
        <v>6.713333333333332</v>
      </c>
      <c r="E3" s="2" cm="1">
        <f t="array" aca="1" ref="E3" ca="1">INDIRECT("'"&amp;$A3&amp;"'!"&amp;E$31)</f>
        <v>11.500000000000002</v>
      </c>
      <c r="F3" s="2" cm="1">
        <f t="array" aca="1" ref="F3" ca="1">INDIRECT("'"&amp;$A3&amp;"'!"&amp;F$31)</f>
        <v>16.206666666666667</v>
      </c>
      <c r="G3" s="2" cm="1">
        <f t="array" aca="1" ref="G3" ca="1">INDIRECT("'"&amp;$A3&amp;"'!"&amp;G$31)</f>
        <v>20.366666666666664</v>
      </c>
      <c r="H3" s="2" cm="1">
        <f t="array" aca="1" ref="H3" ca="1">INDIRECT("'"&amp;$A3&amp;"'!"&amp;H$31)</f>
        <v>21.89</v>
      </c>
      <c r="I3" s="2" cm="1">
        <f t="array" aca="1" ref="I3" ca="1">INDIRECT("'"&amp;$A3&amp;"'!"&amp;I$31)</f>
        <v>21.099999999999991</v>
      </c>
      <c r="J3" s="2" cm="1">
        <f t="array" aca="1" ref="J3" ca="1">INDIRECT("'"&amp;$A3&amp;"'!"&amp;J$31)</f>
        <v>15.870000000000001</v>
      </c>
      <c r="K3" s="2" cm="1">
        <f t="array" aca="1" ref="K3" ca="1">INDIRECT("'"&amp;$A3&amp;"'!"&amp;K$31)</f>
        <v>11.496666666666668</v>
      </c>
      <c r="L3" s="2" cm="1">
        <f t="array" aca="1" ref="L3" ca="1">INDIRECT("'"&amp;$A3&amp;"'!"&amp;L$31)</f>
        <v>6.6833333333333336</v>
      </c>
      <c r="M3" s="2" cm="1">
        <f t="array" aca="1" ref="M3" ca="1">INDIRECT("'"&amp;$A3&amp;"'!"&amp;M$31)</f>
        <v>2.2666666666666666</v>
      </c>
    </row>
    <row r="4" spans="1:13" x14ac:dyDescent="0.25">
      <c r="A4" t="s">
        <v>28</v>
      </c>
      <c r="B4" s="2" cm="1">
        <f t="array" aca="1" ref="B4" ca="1">INDIRECT("'"&amp;$A4&amp;"'!"&amp;B$31)</f>
        <v>9.5466666666666651</v>
      </c>
      <c r="C4" s="2" cm="1">
        <f t="array" aca="1" ref="C4" ca="1">INDIRECT("'"&amp;$A4&amp;"'!"&amp;C$31)</f>
        <v>10.110000000000001</v>
      </c>
      <c r="D4" s="2" cm="1">
        <f t="array" aca="1" ref="D4" ca="1">INDIRECT("'"&amp;$A4&amp;"'!"&amp;D$31)</f>
        <v>11.903333333333334</v>
      </c>
      <c r="E4" s="2" cm="1">
        <f t="array" aca="1" ref="E4" ca="1">INDIRECT("'"&amp;$A4&amp;"'!"&amp;E$31)</f>
        <v>14.95333333333333</v>
      </c>
      <c r="F4" s="2" cm="1">
        <f t="array" aca="1" ref="F4" ca="1">INDIRECT("'"&amp;$A4&amp;"'!"&amp;F$31)</f>
        <v>19.386666666666667</v>
      </c>
      <c r="G4" s="2" cm="1">
        <f t="array" aca="1" ref="G4" ca="1">INDIRECT("'"&amp;$A4&amp;"'!"&amp;G$31)</f>
        <v>23.723333333333336</v>
      </c>
      <c r="H4" s="2" cm="1">
        <f t="array" aca="1" ref="H4" ca="1">INDIRECT("'"&amp;$A4&amp;"'!"&amp;H$31)</f>
        <v>26.159999999999993</v>
      </c>
      <c r="I4" s="2" cm="1">
        <f t="array" aca="1" ref="I4" ca="1">INDIRECT("'"&amp;$A4&amp;"'!"&amp;I$31)</f>
        <v>26.20333333333333</v>
      </c>
      <c r="J4" s="2" cm="1">
        <f t="array" aca="1" ref="J4" ca="1">INDIRECT("'"&amp;$A4&amp;"'!"&amp;J$31)</f>
        <v>22.18</v>
      </c>
      <c r="K4" s="2" cm="1">
        <f t="array" aca="1" ref="K4" ca="1">INDIRECT("'"&amp;$A4&amp;"'!"&amp;K$31)</f>
        <v>18.313333333333333</v>
      </c>
      <c r="L4" s="2" cm="1">
        <f t="array" aca="1" ref="L4" ca="1">INDIRECT("'"&amp;$A4&amp;"'!"&amp;L$31)</f>
        <v>14.516666666666662</v>
      </c>
      <c r="M4" s="2" cm="1">
        <f t="array" aca="1" ref="M4" ca="1">INDIRECT("'"&amp;$A4&amp;"'!"&amp;M$31)</f>
        <v>11</v>
      </c>
    </row>
    <row r="5" spans="1:13" x14ac:dyDescent="0.25">
      <c r="A5" t="s">
        <v>31</v>
      </c>
      <c r="B5" s="2" cm="1">
        <f t="array" aca="1" ref="B5" ca="1">INDIRECT("'"&amp;$A5&amp;"'!"&amp;B$31)</f>
        <v>0.11333333333333336</v>
      </c>
      <c r="C5" s="2" cm="1">
        <f t="array" aca="1" ref="C5" ca="1">INDIRECT("'"&amp;$A5&amp;"'!"&amp;C$31)</f>
        <v>1.6500000000000001</v>
      </c>
      <c r="D5" s="2" cm="1">
        <f t="array" aca="1" ref="D5" ca="1">INDIRECT("'"&amp;$A5&amp;"'!"&amp;D$31)</f>
        <v>4.9466666666666672</v>
      </c>
      <c r="E5" s="2" cm="1">
        <f t="array" aca="1" ref="E5" ca="1">INDIRECT("'"&amp;$A5&amp;"'!"&amp;E$31)</f>
        <v>9.4333333333333336</v>
      </c>
      <c r="F5" s="2" cm="1">
        <f t="array" aca="1" ref="F5" ca="1">INDIRECT("'"&amp;$A5&amp;"'!"&amp;F$31)</f>
        <v>14.09333333333333</v>
      </c>
      <c r="G5" s="2" cm="1">
        <f t="array" aca="1" ref="G5" ca="1">INDIRECT("'"&amp;$A5&amp;"'!"&amp;G$31)</f>
        <v>18.396666666666661</v>
      </c>
      <c r="H5" s="2" cm="1">
        <f t="array" aca="1" ref="H5" ca="1">INDIRECT("'"&amp;$A5&amp;"'!"&amp;H$31)</f>
        <v>20.336666666666666</v>
      </c>
      <c r="I5" s="2" cm="1">
        <f t="array" aca="1" ref="I5" ca="1">INDIRECT("'"&amp;$A5&amp;"'!"&amp;I$31)</f>
        <v>19.706666666666671</v>
      </c>
      <c r="J5" s="2" cm="1">
        <f t="array" aca="1" ref="J5" ca="1">INDIRECT("'"&amp;$A5&amp;"'!"&amp;J$31)</f>
        <v>14.256666666666664</v>
      </c>
      <c r="K5" s="2" cm="1">
        <f t="array" aca="1" ref="K5" ca="1">INDIRECT("'"&amp;$A5&amp;"'!"&amp;K$31)</f>
        <v>10.276666666666667</v>
      </c>
      <c r="L5" s="2" cm="1">
        <f t="array" aca="1" ref="L5" ca="1">INDIRECT("'"&amp;$A5&amp;"'!"&amp;L$31)</f>
        <v>5.7366666666666664</v>
      </c>
      <c r="M5" s="2" cm="1">
        <f t="array" aca="1" ref="M5" ca="1">INDIRECT("'"&amp;$A5&amp;"'!"&amp;M$31)</f>
        <v>1.1866666666666668</v>
      </c>
    </row>
    <row r="6" spans="1:13" x14ac:dyDescent="0.25">
      <c r="A6" t="s">
        <v>32</v>
      </c>
      <c r="B6" s="2" cm="1">
        <f t="array" aca="1" ref="B6" ca="1">INDIRECT("'"&amp;$A6&amp;"'!"&amp;B$31)</f>
        <v>9.3433333333333337</v>
      </c>
      <c r="C6" s="2" cm="1">
        <f t="array" aca="1" ref="C6" ca="1">INDIRECT("'"&amp;$A6&amp;"'!"&amp;C$31)</f>
        <v>9.7766666666666673</v>
      </c>
      <c r="D6" s="2" cm="1">
        <f t="array" aca="1" ref="D6" ca="1">INDIRECT("'"&amp;$A6&amp;"'!"&amp;D$31)</f>
        <v>11.723333333333334</v>
      </c>
      <c r="E6" s="2" cm="1">
        <f t="array" aca="1" ref="E6" ca="1">INDIRECT("'"&amp;$A6&amp;"'!"&amp;E$31)</f>
        <v>14.876666666666667</v>
      </c>
      <c r="F6" s="2" cm="1">
        <f t="array" aca="1" ref="F6" ca="1">INDIRECT("'"&amp;$A6&amp;"'!"&amp;F$31)</f>
        <v>19.383333333333333</v>
      </c>
      <c r="G6" s="2" cm="1">
        <f t="array" aca="1" ref="G6" ca="1">INDIRECT("'"&amp;$A6&amp;"'!"&amp;G$31)</f>
        <v>23.446666666666665</v>
      </c>
      <c r="H6" s="2" cm="1">
        <f t="array" aca="1" ref="H6" ca="1">INDIRECT("'"&amp;$A6&amp;"'!"&amp;H$31)</f>
        <v>26.046666666666667</v>
      </c>
      <c r="I6" s="2" cm="1">
        <f t="array" aca="1" ref="I6" ca="1">INDIRECT("'"&amp;$A6&amp;"'!"&amp;I$31)</f>
        <v>26.153333333333325</v>
      </c>
      <c r="J6" s="2" cm="1">
        <f t="array" aca="1" ref="J6" ca="1">INDIRECT("'"&amp;$A6&amp;"'!"&amp;J$31)</f>
        <v>22.136666666666667</v>
      </c>
      <c r="K6" s="2" cm="1">
        <f t="array" aca="1" ref="K6" ca="1">INDIRECT("'"&amp;$A6&amp;"'!"&amp;K$31)</f>
        <v>18.260000000000002</v>
      </c>
      <c r="L6" s="2" cm="1">
        <f t="array" aca="1" ref="L6" ca="1">INDIRECT("'"&amp;$A6&amp;"'!"&amp;L$31)</f>
        <v>14.349999999999998</v>
      </c>
      <c r="M6" s="2" cm="1">
        <f t="array" aca="1" ref="M6" ca="1">INDIRECT("'"&amp;$A6&amp;"'!"&amp;M$31)</f>
        <v>10.806666666666668</v>
      </c>
    </row>
    <row r="7" spans="1:13" x14ac:dyDescent="0.25">
      <c r="A7" t="s">
        <v>33</v>
      </c>
      <c r="B7" s="2" cm="1">
        <f t="array" aca="1" ref="B7" ca="1">INDIRECT("'"&amp;$A7&amp;"'!"&amp;B$31)</f>
        <v>0.86333333333333329</v>
      </c>
      <c r="C7" s="2" cm="1">
        <f t="array" aca="1" ref="C7" ca="1">INDIRECT("'"&amp;$A7&amp;"'!"&amp;C$31)</f>
        <v>2.9399999999999991</v>
      </c>
      <c r="D7" s="2" cm="1">
        <f t="array" aca="1" ref="D7" ca="1">INDIRECT("'"&amp;$A7&amp;"'!"&amp;D$31)</f>
        <v>6.7733333333333325</v>
      </c>
      <c r="E7" s="2" cm="1">
        <f t="array" aca="1" ref="E7" ca="1">INDIRECT("'"&amp;$A7&amp;"'!"&amp;E$31)</f>
        <v>11.603333333333332</v>
      </c>
      <c r="F7" s="2" cm="1">
        <f t="array" aca="1" ref="F7" ca="1">INDIRECT("'"&amp;$A7&amp;"'!"&amp;F$31)</f>
        <v>16.333333333333332</v>
      </c>
      <c r="G7" s="2" cm="1">
        <f t="array" aca="1" ref="G7" ca="1">INDIRECT("'"&amp;$A7&amp;"'!"&amp;G$31)</f>
        <v>20.513333333333332</v>
      </c>
      <c r="H7" s="2" cm="1">
        <f t="array" aca="1" ref="H7" ca="1">INDIRECT("'"&amp;$A7&amp;"'!"&amp;H$31)</f>
        <v>22.036666666666658</v>
      </c>
      <c r="I7" s="2" cm="1">
        <f t="array" aca="1" ref="I7" ca="1">INDIRECT("'"&amp;$A7&amp;"'!"&amp;I$31)</f>
        <v>21.146666666666672</v>
      </c>
      <c r="J7" s="2" cm="1">
        <f t="array" aca="1" ref="J7" ca="1">INDIRECT("'"&amp;$A7&amp;"'!"&amp;J$31)</f>
        <v>15.866666666666664</v>
      </c>
      <c r="K7" s="2" cm="1">
        <f t="array" aca="1" ref="K7" ca="1">INDIRECT("'"&amp;$A7&amp;"'!"&amp;K$31)</f>
        <v>11.426666666666666</v>
      </c>
      <c r="L7" s="2" cm="1">
        <f t="array" aca="1" ref="L7" ca="1">INDIRECT("'"&amp;$A7&amp;"'!"&amp;L$31)</f>
        <v>6.42</v>
      </c>
      <c r="M7" s="2" cm="1">
        <f t="array" aca="1" ref="M7" ca="1">INDIRECT("'"&amp;$A7&amp;"'!"&amp;M$31)</f>
        <v>1.76</v>
      </c>
    </row>
    <row r="8" spans="1:13" x14ac:dyDescent="0.25">
      <c r="A8" t="s">
        <v>34</v>
      </c>
      <c r="B8" s="2" cm="1">
        <f t="array" aca="1" ref="B8" ca="1">INDIRECT("'"&amp;$A8&amp;"'!"&amp;B$31)</f>
        <v>4.4000000000000012</v>
      </c>
      <c r="C8" s="2" cm="1">
        <f t="array" aca="1" ref="C8" ca="1">INDIRECT("'"&amp;$A8&amp;"'!"&amp;C$31)</f>
        <v>5.72</v>
      </c>
      <c r="D8" s="2" cm="1">
        <f t="array" aca="1" ref="D8" ca="1">INDIRECT("'"&amp;$A8&amp;"'!"&amp;D$31)</f>
        <v>8.7533333333333321</v>
      </c>
      <c r="E8" s="2" cm="1">
        <f t="array" aca="1" ref="E8" ca="1">INDIRECT("'"&amp;$A8&amp;"'!"&amp;E$31)</f>
        <v>12.496666666666666</v>
      </c>
      <c r="F8" s="2" cm="1">
        <f t="array" aca="1" ref="F8" ca="1">INDIRECT("'"&amp;$A8&amp;"'!"&amp;F$31)</f>
        <v>16.940000000000001</v>
      </c>
      <c r="G8" s="2" cm="1">
        <f t="array" aca="1" ref="G8" ca="1">INDIRECT("'"&amp;$A8&amp;"'!"&amp;G$31)</f>
        <v>21.496666666666666</v>
      </c>
      <c r="H8" s="2" cm="1">
        <f t="array" aca="1" ref="H8" ca="1">INDIRECT("'"&amp;$A8&amp;"'!"&amp;H$31)</f>
        <v>24.153333333333322</v>
      </c>
      <c r="I8" s="2" cm="1">
        <f t="array" aca="1" ref="I8" ca="1">INDIRECT("'"&amp;$A8&amp;"'!"&amp;I$31)</f>
        <v>23.709999999999997</v>
      </c>
      <c r="J8" s="2" cm="1">
        <f t="array" aca="1" ref="J8" ca="1">INDIRECT("'"&amp;$A8&amp;"'!"&amp;J$31)</f>
        <v>18.336666666666666</v>
      </c>
      <c r="K8" s="2" cm="1">
        <f t="array" aca="1" ref="K8" ca="1">INDIRECT("'"&amp;$A8&amp;"'!"&amp;K$31)</f>
        <v>13.900000000000004</v>
      </c>
      <c r="L8" s="2" cm="1">
        <f t="array" aca="1" ref="L8" ca="1">INDIRECT("'"&amp;$A8&amp;"'!"&amp;L$31)</f>
        <v>9.4133333333333322</v>
      </c>
      <c r="M8" s="2" cm="1">
        <f t="array" aca="1" ref="M8" ca="1">INDIRECT("'"&amp;$A8&amp;"'!"&amp;M$31)</f>
        <v>5.5900000000000016</v>
      </c>
    </row>
    <row r="9" spans="1:13" x14ac:dyDescent="0.25">
      <c r="A9" t="s">
        <v>35</v>
      </c>
      <c r="B9" s="2" cm="1">
        <f t="array" aca="1" ref="B9" ca="1">INDIRECT("'"&amp;$A9&amp;"'!"&amp;B$31)</f>
        <v>9.913333333333334</v>
      </c>
      <c r="C9" s="2" cm="1">
        <f t="array" aca="1" ref="C9" ca="1">INDIRECT("'"&amp;$A9&amp;"'!"&amp;C$31)</f>
        <v>10.166666666666664</v>
      </c>
      <c r="D9" s="2" cm="1">
        <f t="array" aca="1" ref="D9" ca="1">INDIRECT("'"&amp;$A9&amp;"'!"&amp;D$31)</f>
        <v>11.873333333333331</v>
      </c>
      <c r="E9" s="2" cm="1">
        <f t="array" aca="1" ref="E9" ca="1">INDIRECT("'"&amp;$A9&amp;"'!"&amp;E$31)</f>
        <v>14.776666666666664</v>
      </c>
      <c r="F9" s="2" cm="1">
        <f t="array" aca="1" ref="F9" ca="1">INDIRECT("'"&amp;$A9&amp;"'!"&amp;F$31)</f>
        <v>19.209999999999997</v>
      </c>
      <c r="G9" s="2" cm="1">
        <f t="array" aca="1" ref="G9" ca="1">INDIRECT("'"&amp;$A9&amp;"'!"&amp;G$31)</f>
        <v>23.58</v>
      </c>
      <c r="H9" s="2" cm="1">
        <f t="array" aca="1" ref="H9" ca="1">INDIRECT("'"&amp;$A9&amp;"'!"&amp;H$31)</f>
        <v>26.23</v>
      </c>
      <c r="I9" s="2" cm="1">
        <f t="array" aca="1" ref="I9" ca="1">INDIRECT("'"&amp;$A9&amp;"'!"&amp;I$31)</f>
        <v>26.036666666666665</v>
      </c>
      <c r="J9" s="2" cm="1">
        <f t="array" aca="1" ref="J9" ca="1">INDIRECT("'"&amp;$A9&amp;"'!"&amp;J$31)</f>
        <v>21.853333333333332</v>
      </c>
      <c r="K9" s="2" cm="1">
        <f t="array" aca="1" ref="K9" ca="1">INDIRECT("'"&amp;$A9&amp;"'!"&amp;K$31)</f>
        <v>18.236666666666668</v>
      </c>
      <c r="L9" s="2" cm="1">
        <f t="array" aca="1" ref="L9" ca="1">INDIRECT("'"&amp;$A9&amp;"'!"&amp;L$31)</f>
        <v>14.566666666666666</v>
      </c>
      <c r="M9" s="2" cm="1">
        <f t="array" aca="1" ref="M9" ca="1">INDIRECT("'"&amp;$A9&amp;"'!"&amp;M$31)</f>
        <v>11.323333333333336</v>
      </c>
    </row>
    <row r="10" spans="1:13" x14ac:dyDescent="0.25">
      <c r="A10" t="s">
        <v>36</v>
      </c>
      <c r="B10" s="2" cm="1">
        <f t="array" aca="1" ref="B10" ca="1">INDIRECT("'"&amp;$A10&amp;"'!"&amp;B$31)</f>
        <v>9.4266666666666676</v>
      </c>
      <c r="C10" s="2" cm="1">
        <f t="array" aca="1" ref="C10" ca="1">INDIRECT("'"&amp;$A10&amp;"'!"&amp;C$31)</f>
        <v>9.9499999999999993</v>
      </c>
      <c r="D10" s="2" cm="1">
        <f t="array" aca="1" ref="D10" ca="1">INDIRECT("'"&amp;$A10&amp;"'!"&amp;D$31)</f>
        <v>11.979999999999997</v>
      </c>
      <c r="E10" s="2" cm="1">
        <f t="array" aca="1" ref="E10" ca="1">INDIRECT("'"&amp;$A10&amp;"'!"&amp;E$31)</f>
        <v>15.286666666666667</v>
      </c>
      <c r="F10" s="2" cm="1">
        <f t="array" aca="1" ref="F10" ca="1">INDIRECT("'"&amp;$A10&amp;"'!"&amp;F$31)</f>
        <v>19.773333333333333</v>
      </c>
      <c r="G10" s="2" cm="1">
        <f t="array" aca="1" ref="G10" ca="1">INDIRECT("'"&amp;$A10&amp;"'!"&amp;G$31)</f>
        <v>24.18333333333333</v>
      </c>
      <c r="H10" s="2" cm="1">
        <f t="array" aca="1" ref="H10" ca="1">INDIRECT("'"&amp;$A10&amp;"'!"&amp;H$31)</f>
        <v>26.86666666666666</v>
      </c>
      <c r="I10" s="2" cm="1">
        <f t="array" aca="1" ref="I10" ca="1">INDIRECT("'"&amp;$A10&amp;"'!"&amp;I$31)</f>
        <v>26.590000000000007</v>
      </c>
      <c r="J10" s="2" cm="1">
        <f t="array" aca="1" ref="J10" ca="1">INDIRECT("'"&amp;$A10&amp;"'!"&amp;J$31)</f>
        <v>22.333333333333332</v>
      </c>
      <c r="K10" s="2" cm="1">
        <f t="array" aca="1" ref="K10" ca="1">INDIRECT("'"&amp;$A10&amp;"'!"&amp;K$31)</f>
        <v>18.220000000000002</v>
      </c>
      <c r="L10" s="2" cm="1">
        <f t="array" aca="1" ref="L10" ca="1">INDIRECT("'"&amp;$A10&amp;"'!"&amp;L$31)</f>
        <v>14.293333333333333</v>
      </c>
      <c r="M10" s="2" cm="1">
        <f t="array" aca="1" ref="M10" ca="1">INDIRECT("'"&amp;$A10&amp;"'!"&amp;M$31)</f>
        <v>10.863333333333335</v>
      </c>
    </row>
    <row r="11" spans="1:13" x14ac:dyDescent="0.25">
      <c r="A11" t="s">
        <v>55</v>
      </c>
      <c r="B11" s="2" cm="1">
        <f t="array" aca="1" ref="B11" ca="1">INDIRECT("'"&amp;$A11&amp;"'!"&amp;B$31)</f>
        <v>8.3133333333333344</v>
      </c>
      <c r="C11" s="2" cm="1">
        <f t="array" aca="1" ref="C11" ca="1">INDIRECT("'"&amp;$A11&amp;"'!"&amp;C$31)</f>
        <v>8.6566666666666663</v>
      </c>
      <c r="D11" s="2" cm="1">
        <f t="array" aca="1" ref="D11" ca="1">INDIRECT("'"&amp;$A11&amp;"'!"&amp;D$31)</f>
        <v>10.736666666666666</v>
      </c>
      <c r="E11" s="2" cm="1">
        <f t="array" aca="1" ref="E11" ca="1">INDIRECT("'"&amp;$A11&amp;"'!"&amp;E$31)</f>
        <v>14.00333333333333</v>
      </c>
      <c r="F11" s="2" cm="1">
        <f t="array" aca="1" ref="F11" ca="1">INDIRECT("'"&amp;$A11&amp;"'!"&amp;F$31)</f>
        <v>18.213333333333335</v>
      </c>
      <c r="G11" s="2" cm="1">
        <f t="array" aca="1" ref="G11" ca="1">INDIRECT("'"&amp;$A11&amp;"'!"&amp;G$31)</f>
        <v>23.29333333333334</v>
      </c>
      <c r="H11" s="2" cm="1">
        <f t="array" aca="1" ref="H11" ca="1">INDIRECT("'"&amp;$A11&amp;"'!"&amp;H$31)</f>
        <v>25.693333333333335</v>
      </c>
      <c r="I11" s="2" cm="1">
        <f t="array" aca="1" ref="I11" ca="1">INDIRECT("'"&amp;$A11&amp;"'!"&amp;I$31)</f>
        <v>25.063333333333333</v>
      </c>
      <c r="J11" s="2" cm="1">
        <f t="array" aca="1" ref="J11" ca="1">INDIRECT("'"&amp;$A11&amp;"'!"&amp;J$31)</f>
        <v>20.910000000000004</v>
      </c>
      <c r="K11" s="2" cm="1">
        <f t="array" aca="1" ref="K11" ca="1">INDIRECT("'"&amp;$A11&amp;"'!"&amp;K$31)</f>
        <v>17.170000000000002</v>
      </c>
      <c r="L11" s="2" cm="1">
        <f t="array" aca="1" ref="L11" ca="1">INDIRECT("'"&amp;$A11&amp;"'!"&amp;L$31)</f>
        <v>13.17</v>
      </c>
      <c r="M11" s="2" cm="1">
        <f t="array" aca="1" ref="M11" ca="1">INDIRECT("'"&amp;$A11&amp;"'!"&amp;M$31)</f>
        <v>9.7866666666666635</v>
      </c>
    </row>
    <row r="12" spans="1:13" x14ac:dyDescent="0.25">
      <c r="A12" t="s">
        <v>37</v>
      </c>
      <c r="B12" s="2" cm="1">
        <f t="array" aca="1" ref="B12" ca="1">INDIRECT("'"&amp;$A12&amp;"'!"&amp;B$31)</f>
        <v>1.4566666666666666</v>
      </c>
      <c r="C12" s="2" cm="1">
        <f t="array" aca="1" ref="C12" ca="1">INDIRECT("'"&amp;$A12&amp;"'!"&amp;C$31)</f>
        <v>3.03</v>
      </c>
      <c r="D12" s="2" cm="1">
        <f t="array" aca="1" ref="D12" ca="1">INDIRECT("'"&amp;$A12&amp;"'!"&amp;D$31)</f>
        <v>6.2666666666666666</v>
      </c>
      <c r="E12" s="2" cm="1">
        <f t="array" aca="1" ref="E12" ca="1">INDIRECT("'"&amp;$A12&amp;"'!"&amp;E$31)</f>
        <v>10.87</v>
      </c>
      <c r="F12" s="2" cm="1">
        <f t="array" aca="1" ref="F12" ca="1">INDIRECT("'"&amp;$A12&amp;"'!"&amp;F$31)</f>
        <v>15.366666666666667</v>
      </c>
      <c r="G12" s="2" cm="1">
        <f t="array" aca="1" ref="G12" ca="1">INDIRECT("'"&amp;$A12&amp;"'!"&amp;G$31)</f>
        <v>19.526666666666664</v>
      </c>
      <c r="H12" s="2" cm="1">
        <f t="array" aca="1" ref="H12" ca="1">INDIRECT("'"&amp;$A12&amp;"'!"&amp;H$31)</f>
        <v>21.130000000000003</v>
      </c>
      <c r="I12" s="2" cm="1">
        <f t="array" aca="1" ref="I12" ca="1">INDIRECT("'"&amp;$A12&amp;"'!"&amp;I$31)</f>
        <v>20.366666666666664</v>
      </c>
      <c r="J12" s="2" cm="1">
        <f t="array" aca="1" ref="J12" ca="1">INDIRECT("'"&amp;$A12&amp;"'!"&amp;J$31)</f>
        <v>15.253333333333336</v>
      </c>
      <c r="K12" s="2" cm="1">
        <f t="array" aca="1" ref="K12" ca="1">INDIRECT("'"&amp;$A12&amp;"'!"&amp;K$31)</f>
        <v>11.433333333333335</v>
      </c>
      <c r="L12" s="2" cm="1">
        <f t="array" aca="1" ref="L12" ca="1">INDIRECT("'"&amp;$A12&amp;"'!"&amp;L$31)</f>
        <v>6.7100000000000017</v>
      </c>
      <c r="M12" s="2" cm="1">
        <f t="array" aca="1" ref="M12" ca="1">INDIRECT("'"&amp;$A12&amp;"'!"&amp;M$31)</f>
        <v>2.4099999999999997</v>
      </c>
    </row>
    <row r="13" spans="1:13" x14ac:dyDescent="0.25">
      <c r="A13" t="s">
        <v>38</v>
      </c>
      <c r="B13" s="2" cm="1">
        <f t="array" aca="1" ref="B13" ca="1">INDIRECT("'"&amp;$A13&amp;"'!"&amp;B$31)</f>
        <v>0.8666666666666667</v>
      </c>
      <c r="C13" s="2" cm="1">
        <f t="array" aca="1" ref="C13" ca="1">INDIRECT("'"&amp;$A13&amp;"'!"&amp;C$31)</f>
        <v>3.0799999999999996</v>
      </c>
      <c r="D13" s="2" cm="1">
        <f t="array" aca="1" ref="D13" ca="1">INDIRECT("'"&amp;$A13&amp;"'!"&amp;D$31)</f>
        <v>7.0066666666666659</v>
      </c>
      <c r="E13" s="2" cm="1">
        <f t="array" aca="1" ref="E13" ca="1">INDIRECT("'"&amp;$A13&amp;"'!"&amp;E$31)</f>
        <v>12.293333333333333</v>
      </c>
      <c r="F13" s="2" cm="1">
        <f t="array" aca="1" ref="F13" ca="1">INDIRECT("'"&amp;$A13&amp;"'!"&amp;F$31)</f>
        <v>17.233333333333334</v>
      </c>
      <c r="G13" s="2" cm="1">
        <f t="array" aca="1" ref="G13" ca="1">INDIRECT("'"&amp;$A13&amp;"'!"&amp;G$31)</f>
        <v>21.073333333333331</v>
      </c>
      <c r="H13" s="2" cm="1">
        <f t="array" aca="1" ref="H13" ca="1">INDIRECT("'"&amp;$A13&amp;"'!"&amp;H$31)</f>
        <v>22.73</v>
      </c>
      <c r="I13" s="2" cm="1">
        <f t="array" aca="1" ref="I13" ca="1">INDIRECT("'"&amp;$A13&amp;"'!"&amp;I$31)</f>
        <v>22.256666666666664</v>
      </c>
      <c r="J13" s="2" cm="1">
        <f t="array" aca="1" ref="J13" ca="1">INDIRECT("'"&amp;$A13&amp;"'!"&amp;J$31)</f>
        <v>16.966666666666665</v>
      </c>
      <c r="K13" s="2" cm="1">
        <f t="array" aca="1" ref="K13" ca="1">INDIRECT("'"&amp;$A13&amp;"'!"&amp;K$31)</f>
        <v>12.093333333333332</v>
      </c>
      <c r="L13" s="2" cm="1">
        <f t="array" aca="1" ref="L13" ca="1">INDIRECT("'"&amp;$A13&amp;"'!"&amp;L$31)</f>
        <v>6.7333333333333343</v>
      </c>
      <c r="M13" s="2" cm="1">
        <f t="array" aca="1" ref="M13" ca="1">INDIRECT("'"&amp;$A13&amp;"'!"&amp;M$31)</f>
        <v>1.8999999999999997</v>
      </c>
    </row>
    <row r="14" spans="1:13" x14ac:dyDescent="0.25">
      <c r="A14" t="s">
        <v>39</v>
      </c>
      <c r="B14" s="2" cm="1">
        <f t="array" aca="1" ref="B14" ca="1">INDIRECT("'"&amp;$A14&amp;"'!"&amp;B$31)</f>
        <v>-0.66000000000000025</v>
      </c>
      <c r="C14" s="2" cm="1">
        <f t="array" aca="1" ref="C14" ca="1">INDIRECT("'"&amp;$A14&amp;"'!"&amp;C$31)</f>
        <v>0.4499999999999999</v>
      </c>
      <c r="D14" s="2" cm="1">
        <f t="array" aca="1" ref="D14" ca="1">INDIRECT("'"&amp;$A14&amp;"'!"&amp;D$31)</f>
        <v>3.2333333333333334</v>
      </c>
      <c r="E14" s="2" cm="1">
        <f t="array" aca="1" ref="E14" ca="1">INDIRECT("'"&amp;$A14&amp;"'!"&amp;E$31)</f>
        <v>7.4966666666666679</v>
      </c>
      <c r="F14" s="2" cm="1">
        <f t="array" aca="1" ref="F14" ca="1">INDIRECT("'"&amp;$A14&amp;"'!"&amp;F$31)</f>
        <v>12.080000000000002</v>
      </c>
      <c r="G14" s="2" cm="1">
        <f t="array" aca="1" ref="G14" ca="1">INDIRECT("'"&amp;$A14&amp;"'!"&amp;G$31)</f>
        <v>16.286666666666669</v>
      </c>
      <c r="H14" s="2" cm="1">
        <f t="array" aca="1" ref="H14" ca="1">INDIRECT("'"&amp;$A14&amp;"'!"&amp;H$31)</f>
        <v>18.089999999999996</v>
      </c>
      <c r="I14" s="2" cm="1">
        <f t="array" aca="1" ref="I14" ca="1">INDIRECT("'"&amp;$A14&amp;"'!"&amp;I$31)</f>
        <v>17.610000000000003</v>
      </c>
      <c r="J14" s="2" cm="1">
        <f t="array" aca="1" ref="J14" ca="1">INDIRECT("'"&amp;$A14&amp;"'!"&amp;J$31)</f>
        <v>12.653333333333329</v>
      </c>
      <c r="K14" s="2" cm="1">
        <f t="array" aca="1" ref="K14" ca="1">INDIRECT("'"&amp;$A14&amp;"'!"&amp;K$31)</f>
        <v>9.0066666666666659</v>
      </c>
      <c r="L14" s="2" cm="1">
        <f t="array" aca="1" ref="L14" ca="1">INDIRECT("'"&amp;$A14&amp;"'!"&amp;L$31)</f>
        <v>4.2866666666666662</v>
      </c>
      <c r="M14" s="2" cm="1">
        <f t="array" aca="1" ref="M14" ca="1">INDIRECT("'"&amp;$A14&amp;"'!"&amp;M$31)</f>
        <v>0.47666666666666668</v>
      </c>
    </row>
    <row r="15" spans="1:13" x14ac:dyDescent="0.25">
      <c r="A15" t="s">
        <v>40</v>
      </c>
      <c r="B15" s="2" cm="1">
        <f t="array" aca="1" ref="B15" ca="1">INDIRECT("'"&amp;$A15&amp;"'!"&amp;B$31)</f>
        <v>3.2800000000000002</v>
      </c>
      <c r="C15" s="2" cm="1">
        <f t="array" aca="1" ref="C15" ca="1">INDIRECT("'"&amp;$A15&amp;"'!"&amp;C$31)</f>
        <v>4.3066666666666675</v>
      </c>
      <c r="D15" s="2" cm="1">
        <f t="array" aca="1" ref="D15" ca="1">INDIRECT("'"&amp;$A15&amp;"'!"&amp;D$31)</f>
        <v>7.0633333333333326</v>
      </c>
      <c r="E15" s="2" cm="1">
        <f t="array" aca="1" ref="E15" ca="1">INDIRECT("'"&amp;$A15&amp;"'!"&amp;E$31)</f>
        <v>10.886666666666667</v>
      </c>
      <c r="F15" s="2" cm="1">
        <f t="array" aca="1" ref="F15" ca="1">INDIRECT("'"&amp;$A15&amp;"'!"&amp;F$31)</f>
        <v>15.516666666666671</v>
      </c>
      <c r="G15" s="2" cm="1">
        <f t="array" aca="1" ref="G15" ca="1">INDIRECT("'"&amp;$A15&amp;"'!"&amp;G$31)</f>
        <v>19.893333333333331</v>
      </c>
      <c r="H15" s="2" cm="1">
        <f t="array" aca="1" ref="H15" ca="1">INDIRECT("'"&amp;$A15&amp;"'!"&amp;H$31)</f>
        <v>22.046666666666663</v>
      </c>
      <c r="I15" s="2" cm="1">
        <f t="array" aca="1" ref="I15" ca="1">INDIRECT("'"&amp;$A15&amp;"'!"&amp;I$31)</f>
        <v>21.223333333333326</v>
      </c>
      <c r="J15" s="2" cm="1">
        <f t="array" aca="1" ref="J15" ca="1">INDIRECT("'"&amp;$A15&amp;"'!"&amp;J$31)</f>
        <v>16.29</v>
      </c>
      <c r="K15" s="2" cm="1">
        <f t="array" aca="1" ref="K15" ca="1">INDIRECT("'"&amp;$A15&amp;"'!"&amp;K$31)</f>
        <v>12.356666666666666</v>
      </c>
      <c r="L15" s="2" cm="1">
        <f t="array" aca="1" ref="L15" ca="1">INDIRECT("'"&amp;$A15&amp;"'!"&amp;L$31)</f>
        <v>8.1600000000000019</v>
      </c>
      <c r="M15" s="2" cm="1">
        <f t="array" aca="1" ref="M15" ca="1">INDIRECT("'"&amp;$A15&amp;"'!"&amp;M$31)</f>
        <v>4.4133333333333331</v>
      </c>
    </row>
    <row r="16" spans="1:13" x14ac:dyDescent="0.25">
      <c r="A16" t="s">
        <v>41</v>
      </c>
      <c r="B16" s="2" cm="1">
        <f t="array" aca="1" ref="B16" ca="1">INDIRECT("'"&amp;$A16&amp;"'!"&amp;B$31)</f>
        <v>7.1266666666666669</v>
      </c>
      <c r="C16" s="2" cm="1">
        <f t="array" aca="1" ref="C16" ca="1">INDIRECT("'"&amp;$A16&amp;"'!"&amp;C$31)</f>
        <v>8.2233333333333345</v>
      </c>
      <c r="D16" s="2" cm="1">
        <f t="array" aca="1" ref="D16" ca="1">INDIRECT("'"&amp;$A16&amp;"'!"&amp;D$31)</f>
        <v>10.936666666666667</v>
      </c>
      <c r="E16" s="2" cm="1">
        <f t="array" aca="1" ref="E16" ca="1">INDIRECT("'"&amp;$A16&amp;"'!"&amp;E$31)</f>
        <v>14.500000000000002</v>
      </c>
      <c r="F16" s="2" cm="1">
        <f t="array" aca="1" ref="F16" ca="1">INDIRECT("'"&amp;$A16&amp;"'!"&amp;F$31)</f>
        <v>19.143333333333334</v>
      </c>
      <c r="G16" s="2" cm="1">
        <f t="array" aca="1" ref="G16" ca="1">INDIRECT("'"&amp;$A16&amp;"'!"&amp;G$31)</f>
        <v>23.576666666666672</v>
      </c>
      <c r="H16" s="2" cm="1">
        <f t="array" aca="1" ref="H16" ca="1">INDIRECT("'"&amp;$A16&amp;"'!"&amp;H$31)</f>
        <v>26.163333333333334</v>
      </c>
      <c r="I16" s="2" cm="1">
        <f t="array" aca="1" ref="I16" ca="1">INDIRECT("'"&amp;$A16&amp;"'!"&amp;I$31)</f>
        <v>25.776666666666667</v>
      </c>
      <c r="J16" s="2" cm="1">
        <f t="array" aca="1" ref="J16" ca="1">INDIRECT("'"&amp;$A16&amp;"'!"&amp;J$31)</f>
        <v>21.076666666666661</v>
      </c>
      <c r="K16" s="2" cm="1">
        <f t="array" aca="1" ref="K16" ca="1">INDIRECT("'"&amp;$A16&amp;"'!"&amp;K$31)</f>
        <v>16.533333333333335</v>
      </c>
      <c r="L16" s="2" cm="1">
        <f t="array" aca="1" ref="L16" ca="1">INDIRECT("'"&amp;$A16&amp;"'!"&amp;L$31)</f>
        <v>12.099999999999998</v>
      </c>
      <c r="M16" s="2" cm="1">
        <f t="array" aca="1" ref="M16" ca="1">INDIRECT("'"&amp;$A16&amp;"'!"&amp;M$31)</f>
        <v>8.3400000000000034</v>
      </c>
    </row>
    <row r="17" spans="1:13" x14ac:dyDescent="0.25">
      <c r="A17" t="s">
        <v>42</v>
      </c>
      <c r="B17" s="2" cm="1">
        <f t="array" aca="1" ref="B17" ca="1">INDIRECT("'"&amp;$A17&amp;"'!"&amp;B$31)</f>
        <v>6.3275862068965516</v>
      </c>
      <c r="C17" s="2" cm="1">
        <f t="array" aca="1" ref="C17" ca="1">INDIRECT("'"&amp;$A17&amp;"'!"&amp;C$31)</f>
        <v>6.923333333333332</v>
      </c>
      <c r="D17" s="2" cm="1">
        <f t="array" aca="1" ref="D17" ca="1">INDIRECT("'"&amp;$A17&amp;"'!"&amp;D$31)</f>
        <v>9.5233333333333334</v>
      </c>
      <c r="E17" s="2" cm="1">
        <f t="array" aca="1" ref="E17" ca="1">INDIRECT("'"&amp;$A17&amp;"'!"&amp;E$31)</f>
        <v>13.309999999999999</v>
      </c>
      <c r="F17" s="2" cm="1">
        <f t="array" aca="1" ref="F17" ca="1">INDIRECT("'"&amp;$A17&amp;"'!"&amp;F$31)</f>
        <v>18.173333333333336</v>
      </c>
      <c r="G17" s="2" cm="1">
        <f t="array" aca="1" ref="G17" ca="1">INDIRECT("'"&amp;$A17&amp;"'!"&amp;G$31)</f>
        <v>22.986666666666665</v>
      </c>
      <c r="H17" s="2" cm="1">
        <f t="array" aca="1" ref="H17" ca="1">INDIRECT("'"&amp;$A17&amp;"'!"&amp;H$31)</f>
        <v>25.349999999999998</v>
      </c>
      <c r="I17" s="2" cm="1">
        <f t="array" aca="1" ref="I17" ca="1">INDIRECT("'"&amp;$A17&amp;"'!"&amp;I$31)</f>
        <v>24.86</v>
      </c>
      <c r="J17" s="2" cm="1">
        <f t="array" aca="1" ref="J17" ca="1">INDIRECT("'"&amp;$A17&amp;"'!"&amp;J$31)</f>
        <v>20.02</v>
      </c>
      <c r="K17" s="2" cm="1">
        <f t="array" aca="1" ref="K17" ca="1">INDIRECT("'"&amp;$A17&amp;"'!"&amp;K$31)</f>
        <v>15.713333333333335</v>
      </c>
      <c r="L17" s="2" cm="1">
        <f t="array" aca="1" ref="L17" ca="1">INDIRECT("'"&amp;$A17&amp;"'!"&amp;L$31)</f>
        <v>11.45862068965517</v>
      </c>
      <c r="M17" s="2" cm="1">
        <f t="array" aca="1" ref="M17" ca="1">INDIRECT("'"&amp;$A17&amp;"'!"&amp;M$31)</f>
        <v>7.7620689655172415</v>
      </c>
    </row>
    <row r="18" spans="1:13" x14ac:dyDescent="0.25">
      <c r="A18" t="s">
        <v>59</v>
      </c>
      <c r="B18" s="2" cm="1">
        <f t="array" aca="1" ref="B18" ca="1">INDIRECT("'"&amp;$A18&amp;"'!"&amp;B$31)</f>
        <v>-1.4599999999999997</v>
      </c>
      <c r="C18" s="2" cm="1">
        <f t="array" aca="1" ref="C18" ca="1">INDIRECT("'"&amp;$A18&amp;"'!"&amp;C$31)</f>
        <v>-0.40666666666666657</v>
      </c>
      <c r="D18" s="2" cm="1">
        <f t="array" aca="1" ref="D18" ca="1">INDIRECT("'"&amp;$A18&amp;"'!"&amp;D$31)</f>
        <v>2.3166666666666669</v>
      </c>
      <c r="E18" s="2" cm="1">
        <f t="array" aca="1" ref="E18" ca="1">INDIRECT("'"&amp;$A18&amp;"'!"&amp;E$31)</f>
        <v>6.9400000000000013</v>
      </c>
      <c r="F18" s="2" cm="1">
        <f t="array" aca="1" ref="F18" ca="1">INDIRECT("'"&amp;$A18&amp;"'!"&amp;F$31)</f>
        <v>11.467000000000001</v>
      </c>
      <c r="G18" s="2" cm="1">
        <f t="array" aca="1" ref="G18" ca="1">INDIRECT("'"&amp;$A18&amp;"'!"&amp;G$31)</f>
        <v>15.346666666666664</v>
      </c>
      <c r="H18" s="2" cm="1">
        <f t="array" aca="1" ref="H18" ca="1">INDIRECT("'"&amp;$A18&amp;"'!"&amp;H$31)</f>
        <v>17.163333333333338</v>
      </c>
      <c r="I18" s="2" cm="1">
        <f t="array" aca="1" ref="I18" ca="1">INDIRECT("'"&amp;$A18&amp;"'!"&amp;I$31)</f>
        <v>16.956666666666667</v>
      </c>
      <c r="J18" s="2" cm="1">
        <f t="array" aca="1" ref="J18" ca="1">INDIRECT("'"&amp;$A18&amp;"'!"&amp;J$31)</f>
        <v>12.076666666666664</v>
      </c>
      <c r="K18" s="2" cm="1">
        <f t="array" aca="1" ref="K18" ca="1">INDIRECT("'"&amp;$A18&amp;"'!"&amp;K$31)</f>
        <v>8.3566666666666656</v>
      </c>
      <c r="L18" s="2" cm="1">
        <f t="array" aca="1" ref="L18" ca="1">INDIRECT("'"&amp;$A18&amp;"'!"&amp;L$31)</f>
        <v>3.6066666666666669</v>
      </c>
      <c r="M18" s="2" cm="1">
        <f t="array" aca="1" ref="M18" ca="1">INDIRECT("'"&amp;$A18&amp;"'!"&amp;M$31)</f>
        <v>-0.26666666666666677</v>
      </c>
    </row>
    <row r="19" spans="1:13" x14ac:dyDescent="0.25">
      <c r="A19" t="s">
        <v>44</v>
      </c>
      <c r="B19" s="2" cm="1">
        <f t="array" aca="1" ref="B19" ca="1">INDIRECT("'"&amp;$A19&amp;"'!"&amp;B$31)</f>
        <v>8.1103448275862071</v>
      </c>
      <c r="C19" s="2" cm="1">
        <f t="array" aca="1" ref="C19" ca="1">INDIRECT("'"&amp;$A19&amp;"'!"&amp;C$31)</f>
        <v>8.5566666666666666</v>
      </c>
      <c r="D19" s="2" cm="1">
        <f t="array" aca="1" ref="D19" ca="1">INDIRECT("'"&amp;$A19&amp;"'!"&amp;D$31)</f>
        <v>10.813333333333331</v>
      </c>
      <c r="E19" s="2" cm="1">
        <f t="array" aca="1" ref="E19" ca="1">INDIRECT("'"&amp;$A19&amp;"'!"&amp;E$31)</f>
        <v>14.296666666666669</v>
      </c>
      <c r="F19" s="2" cm="1">
        <f t="array" aca="1" ref="F19" ca="1">INDIRECT("'"&amp;$A19&amp;"'!"&amp;F$31)</f>
        <v>18.893333333333334</v>
      </c>
      <c r="G19" s="2" cm="1">
        <f t="array" aca="1" ref="G19" ca="1">INDIRECT("'"&amp;$A19&amp;"'!"&amp;G$31)</f>
        <v>23.396666666666661</v>
      </c>
      <c r="H19" s="2" cm="1">
        <f t="array" aca="1" ref="H19" ca="1">INDIRECT("'"&amp;$A19&amp;"'!"&amp;H$31)</f>
        <v>25.816666666666663</v>
      </c>
      <c r="I19" s="2" cm="1">
        <f t="array" aca="1" ref="I19" ca="1">INDIRECT("'"&amp;$A19&amp;"'!"&amp;I$31)</f>
        <v>25.52333333333333</v>
      </c>
      <c r="J19" s="2" cm="1">
        <f t="array" aca="1" ref="J19" ca="1">INDIRECT("'"&amp;$A19&amp;"'!"&amp;J$31)</f>
        <v>20.810000000000006</v>
      </c>
      <c r="K19" s="2" cm="1">
        <f t="array" aca="1" ref="K19" ca="1">INDIRECT("'"&amp;$A19&amp;"'!"&amp;K$31)</f>
        <v>16.863333333333337</v>
      </c>
      <c r="L19" s="2" cm="1">
        <f t="array" aca="1" ref="L19" ca="1">INDIRECT("'"&amp;$A19&amp;"'!"&amp;L$31)</f>
        <v>12.793333333333333</v>
      </c>
      <c r="M19" s="2" cm="1">
        <f t="array" aca="1" ref="M19" ca="1">INDIRECT("'"&amp;$A19&amp;"'!"&amp;M$31)</f>
        <v>9.3966666666666665</v>
      </c>
    </row>
    <row r="20" spans="1:13" x14ac:dyDescent="0.25">
      <c r="A20" t="s">
        <v>45</v>
      </c>
      <c r="B20" s="2" cm="1">
        <f t="array" aca="1" ref="B20" ca="1">INDIRECT("'"&amp;$A20&amp;"'!"&amp;B$31)</f>
        <v>6.2866666666666662</v>
      </c>
      <c r="C20" s="2" cm="1">
        <f t="array" aca="1" ref="C20" ca="1">INDIRECT("'"&amp;$A20&amp;"'!"&amp;C$31)</f>
        <v>6.98</v>
      </c>
      <c r="D20" s="2" cm="1">
        <f t="array" aca="1" ref="D20" ca="1">INDIRECT("'"&amp;$A20&amp;"'!"&amp;D$31)</f>
        <v>9.6533333333333342</v>
      </c>
      <c r="E20" s="2" cm="1">
        <f t="array" aca="1" ref="E20" ca="1">INDIRECT("'"&amp;$A20&amp;"'!"&amp;E$31)</f>
        <v>13.4</v>
      </c>
      <c r="F20" s="2" cm="1">
        <f t="array" aca="1" ref="F20" ca="1">INDIRECT("'"&amp;$A20&amp;"'!"&amp;F$31)</f>
        <v>17.896666666666665</v>
      </c>
      <c r="G20" s="2" cm="1">
        <f t="array" aca="1" ref="G20" ca="1">INDIRECT("'"&amp;$A20&amp;"'!"&amp;G$31)</f>
        <v>22.423333333333328</v>
      </c>
      <c r="H20" s="2" cm="1">
        <f t="array" aca="1" ref="H20" ca="1">INDIRECT("'"&amp;$A20&amp;"'!"&amp;H$31)</f>
        <v>24.786666666666669</v>
      </c>
      <c r="I20" s="2" cm="1">
        <f t="array" aca="1" ref="I20" ca="1">INDIRECT("'"&amp;$A20&amp;"'!"&amp;I$31)</f>
        <v>24.626666666666665</v>
      </c>
      <c r="J20" s="2" cm="1">
        <f t="array" aca="1" ref="J20" ca="1">INDIRECT("'"&amp;$A20&amp;"'!"&amp;J$31)</f>
        <v>19.506666666666671</v>
      </c>
      <c r="K20" s="2" cm="1">
        <f t="array" aca="1" ref="K20" ca="1">INDIRECT("'"&amp;$A20&amp;"'!"&amp;K$31)</f>
        <v>15.256666666666664</v>
      </c>
      <c r="L20" s="2" cm="1">
        <f t="array" aca="1" ref="L20" ca="1">INDIRECT("'"&amp;$A20&amp;"'!"&amp;L$31)</f>
        <v>10.953333333333335</v>
      </c>
      <c r="M20" s="2" cm="1">
        <f t="array" aca="1" ref="M20" ca="1">INDIRECT("'"&amp;$A20&amp;"'!"&amp;M$31)</f>
        <v>7.5366666666666644</v>
      </c>
    </row>
    <row r="21" spans="1:13" x14ac:dyDescent="0.25">
      <c r="A21" t="s">
        <v>46</v>
      </c>
      <c r="B21" s="2" cm="1">
        <f t="array" aca="1" ref="B21" ca="1">INDIRECT("'"&amp;$A21&amp;"'!"&amp;B$31)</f>
        <v>6.8899999999999979</v>
      </c>
      <c r="C21" s="2" cm="1">
        <f t="array" aca="1" ref="C21" ca="1">INDIRECT("'"&amp;$A21&amp;"'!"&amp;C$31)</f>
        <v>7.6266666666666669</v>
      </c>
      <c r="D21" s="2" cm="1">
        <f t="array" aca="1" ref="D21" ca="1">INDIRECT("'"&amp;$A21&amp;"'!"&amp;D$31)</f>
        <v>10.42</v>
      </c>
      <c r="E21" s="2" cm="1">
        <f t="array" aca="1" ref="E21" ca="1">INDIRECT("'"&amp;$A21&amp;"'!"&amp;E$31)</f>
        <v>14.143333333333334</v>
      </c>
      <c r="F21" s="2" cm="1">
        <f t="array" aca="1" ref="F21" ca="1">INDIRECT("'"&amp;$A21&amp;"'!"&amp;F$31)</f>
        <v>18.82</v>
      </c>
      <c r="G21" s="2" cm="1">
        <f t="array" aca="1" ref="G21" ca="1">INDIRECT("'"&amp;$A21&amp;"'!"&amp;G$31)</f>
        <v>23.516666666666666</v>
      </c>
      <c r="H21" s="2" cm="1">
        <f t="array" aca="1" ref="H21" ca="1">INDIRECT("'"&amp;$A21&amp;"'!"&amp;H$31)</f>
        <v>25.946666666666665</v>
      </c>
      <c r="I21" s="2" cm="1">
        <f t="array" aca="1" ref="I21" ca="1">INDIRECT("'"&amp;$A21&amp;"'!"&amp;I$31)</f>
        <v>25.666666666666668</v>
      </c>
      <c r="J21" s="2" cm="1">
        <f t="array" aca="1" ref="J21" ca="1">INDIRECT("'"&amp;$A21&amp;"'!"&amp;J$31)</f>
        <v>20.486666666666668</v>
      </c>
      <c r="K21" s="2" cm="1">
        <f t="array" aca="1" ref="K21" ca="1">INDIRECT("'"&amp;$A21&amp;"'!"&amp;K$31)</f>
        <v>16.456666666666663</v>
      </c>
      <c r="L21" s="2" cm="1">
        <f t="array" aca="1" ref="L21" ca="1">INDIRECT("'"&amp;$A21&amp;"'!"&amp;L$31)</f>
        <v>11.9</v>
      </c>
      <c r="M21" s="2" cm="1">
        <f t="array" aca="1" ref="M21" ca="1">INDIRECT("'"&amp;$A21&amp;"'!"&amp;M$31)</f>
        <v>8.1966666666666672</v>
      </c>
    </row>
    <row r="22" spans="1:13" x14ac:dyDescent="0.25">
      <c r="A22" t="s">
        <v>47</v>
      </c>
      <c r="B22" s="2" cm="1">
        <f t="array" aca="1" ref="B22" ca="1">INDIRECT("'"&amp;$A22&amp;"'!"&amp;B$31)</f>
        <v>1.3666666666666667</v>
      </c>
      <c r="C22" s="2" cm="1">
        <f t="array" aca="1" ref="C22" ca="1">INDIRECT("'"&amp;$A22&amp;"'!"&amp;C$31)</f>
        <v>3.6666666666666674</v>
      </c>
      <c r="D22" s="2" cm="1">
        <f t="array" aca="1" ref="D22" ca="1">INDIRECT("'"&amp;$A22&amp;"'!"&amp;D$31)</f>
        <v>7.5566666666666675</v>
      </c>
      <c r="E22" s="2" cm="1">
        <f t="array" aca="1" ref="E22" ca="1">INDIRECT("'"&amp;$A22&amp;"'!"&amp;E$31)</f>
        <v>12.356666666666666</v>
      </c>
      <c r="F22" s="2" cm="1">
        <f t="array" aca="1" ref="F22" ca="1">INDIRECT("'"&amp;$A22&amp;"'!"&amp;F$31)</f>
        <v>16.980000000000004</v>
      </c>
      <c r="G22" s="2" cm="1">
        <f t="array" aca="1" ref="G22" ca="1">INDIRECT("'"&amp;$A22&amp;"'!"&amp;G$31)</f>
        <v>21.256666666666664</v>
      </c>
      <c r="H22" s="2" cm="1">
        <f t="array" aca="1" ref="H22" ca="1">INDIRECT("'"&amp;$A22&amp;"'!"&amp;H$31)</f>
        <v>22.73</v>
      </c>
      <c r="I22" s="2" cm="1">
        <f t="array" aca="1" ref="I22" ca="1">INDIRECT("'"&amp;$A22&amp;"'!"&amp;I$31)</f>
        <v>21.879999999999995</v>
      </c>
      <c r="J22" s="2" cm="1">
        <f t="array" aca="1" ref="J22" ca="1">INDIRECT("'"&amp;$A22&amp;"'!"&amp;J$31)</f>
        <v>16.533333333333339</v>
      </c>
      <c r="K22" s="2" cm="1">
        <f t="array" aca="1" ref="K22" ca="1">INDIRECT("'"&amp;$A22&amp;"'!"&amp;K$31)</f>
        <v>11.98</v>
      </c>
      <c r="L22" s="2" cm="1">
        <f t="array" aca="1" ref="L22" ca="1">INDIRECT("'"&amp;$A22&amp;"'!"&amp;L$31)</f>
        <v>6.9133333333333349</v>
      </c>
      <c r="M22" s="2" cm="1">
        <f t="array" aca="1" ref="M22" ca="1">INDIRECT("'"&amp;$A22&amp;"'!"&amp;M$31)</f>
        <v>2.3166666666666669</v>
      </c>
    </row>
    <row r="23" spans="1:13" x14ac:dyDescent="0.25">
      <c r="A23" t="s">
        <v>58</v>
      </c>
      <c r="B23" s="2" cm="1">
        <f t="array" aca="1" ref="B23" ca="1">INDIRECT("'"&amp;$A23&amp;"'!"&amp;B$31)</f>
        <v>0.86666666666666647</v>
      </c>
      <c r="C23" s="2" cm="1">
        <f t="array" aca="1" ref="C23" ca="1">INDIRECT("'"&amp;$A23&amp;"'!"&amp;C$31)</f>
        <v>3.2999999999999994</v>
      </c>
      <c r="D23" s="2" cm="1">
        <f t="array" aca="1" ref="D23" ca="1">INDIRECT("'"&amp;$A23&amp;"'!"&amp;D$31)</f>
        <v>7.2266666666666675</v>
      </c>
      <c r="E23" s="2" cm="1">
        <f t="array" aca="1" ref="E23" ca="1">INDIRECT("'"&amp;$A23&amp;"'!"&amp;E$31)</f>
        <v>12.166666666666666</v>
      </c>
      <c r="F23" s="2" cm="1">
        <f t="array" aca="1" ref="F23" ca="1">INDIRECT("'"&amp;$A23&amp;"'!"&amp;F$31)</f>
        <v>17.017333333333333</v>
      </c>
      <c r="G23" s="2" cm="1">
        <f t="array" aca="1" ref="G23" ca="1">INDIRECT("'"&amp;$A23&amp;"'!"&amp;G$31)</f>
        <v>20.989999999999995</v>
      </c>
      <c r="H23" s="2" cm="1">
        <f t="array" aca="1" ref="H23" ca="1">INDIRECT("'"&amp;$A23&amp;"'!"&amp;H$31)</f>
        <v>22.68</v>
      </c>
      <c r="I23" s="2" cm="1">
        <f t="array" aca="1" ref="I23" ca="1">INDIRECT("'"&amp;$A23&amp;"'!"&amp;I$31)</f>
        <v>22.116666666666671</v>
      </c>
      <c r="J23" s="2" cm="1">
        <f t="array" aca="1" ref="J23" ca="1">INDIRECT("'"&amp;$A23&amp;"'!"&amp;J$31)</f>
        <v>16.58666666666667</v>
      </c>
      <c r="K23" s="2" cm="1">
        <f t="array" aca="1" ref="K23" ca="1">INDIRECT("'"&amp;$A23&amp;"'!"&amp;K$31)</f>
        <v>11.806666666666663</v>
      </c>
      <c r="L23" s="2" cm="1">
        <f t="array" aca="1" ref="L23" ca="1">INDIRECT("'"&amp;$A23&amp;"'!"&amp;L$31)</f>
        <v>6.6866666666666665</v>
      </c>
      <c r="M23" s="2" cm="1">
        <f t="array" aca="1" ref="M23" ca="1">INDIRECT("'"&amp;$A23&amp;"'!"&amp;M$31)</f>
        <v>1.9600000000000002</v>
      </c>
    </row>
    <row r="24" spans="1:13" x14ac:dyDescent="0.25">
      <c r="A24" t="s">
        <v>48</v>
      </c>
      <c r="B24" s="2" cm="1">
        <f t="array" aca="1" ref="B24" ca="1">INDIRECT("'"&amp;$A24&amp;"'!"&amp;B$31)</f>
        <v>8.336666666666666</v>
      </c>
      <c r="C24" s="2" cm="1">
        <f t="array" aca="1" ref="C24" ca="1">INDIRECT("'"&amp;$A24&amp;"'!"&amp;C$31)</f>
        <v>9.0566666666666666</v>
      </c>
      <c r="D24" s="2" cm="1">
        <f t="array" aca="1" ref="D24" ca="1">INDIRECT("'"&amp;$A24&amp;"'!"&amp;D$31)</f>
        <v>11.349999999999998</v>
      </c>
      <c r="E24" s="2" cm="1">
        <f t="array" aca="1" ref="E24" ca="1">INDIRECT("'"&amp;$A24&amp;"'!"&amp;E$31)</f>
        <v>15.003333333333334</v>
      </c>
      <c r="F24" s="2" cm="1">
        <f t="array" aca="1" ref="F24" ca="1">INDIRECT("'"&amp;$A24&amp;"'!"&amp;F$31)</f>
        <v>19.846666666666671</v>
      </c>
      <c r="G24" s="2" cm="1">
        <f t="array" aca="1" ref="G24" ca="1">INDIRECT("'"&amp;$A24&amp;"'!"&amp;G$31)</f>
        <v>24.586666666666666</v>
      </c>
      <c r="H24" s="2" cm="1">
        <f t="array" aca="1" ref="H24" ca="1">INDIRECT("'"&amp;$A24&amp;"'!"&amp;H$31)</f>
        <v>27.216666666666672</v>
      </c>
      <c r="I24" s="2" cm="1">
        <f t="array" aca="1" ref="I24" ca="1">INDIRECT("'"&amp;$A24&amp;"'!"&amp;I$31)</f>
        <v>26.850000000000005</v>
      </c>
      <c r="J24" s="2" cm="1">
        <f t="array" aca="1" ref="J24" ca="1">INDIRECT("'"&amp;$A24&amp;"'!"&amp;J$31)</f>
        <v>21.756666666666668</v>
      </c>
      <c r="K24" s="2" cm="1">
        <f t="array" aca="1" ref="K24" ca="1">INDIRECT("'"&amp;$A24&amp;"'!"&amp;K$31)</f>
        <v>17.676666666666669</v>
      </c>
      <c r="L24" s="2" cm="1">
        <f t="array" aca="1" ref="L24" ca="1">INDIRECT("'"&amp;$A24&amp;"'!"&amp;L$31)</f>
        <v>13.309999999999999</v>
      </c>
      <c r="M24" s="2" cm="1">
        <f t="array" aca="1" ref="M24" ca="1">INDIRECT("'"&amp;$A24&amp;"'!"&amp;M$31)</f>
        <v>9.7399999999999967</v>
      </c>
    </row>
    <row r="25" spans="1:13" x14ac:dyDescent="0.25">
      <c r="A25" t="s">
        <v>49</v>
      </c>
      <c r="B25" s="2" cm="1">
        <f t="array" aca="1" ref="B25" ca="1">INDIRECT("'"&amp;$A25&amp;"'!"&amp;B$31)</f>
        <v>7.3433333333333346</v>
      </c>
      <c r="C25" s="2" cm="1">
        <f t="array" aca="1" ref="C25" ca="1">INDIRECT("'"&amp;$A25&amp;"'!"&amp;C$31)</f>
        <v>8.1133333333333333</v>
      </c>
      <c r="D25" s="2" cm="1">
        <f t="array" aca="1" ref="D25" ca="1">INDIRECT("'"&amp;$A25&amp;"'!"&amp;D$31)</f>
        <v>10.686666666666664</v>
      </c>
      <c r="E25" s="2" cm="1">
        <f t="array" aca="1" ref="E25" ca="1">INDIRECT("'"&amp;$A25&amp;"'!"&amp;E$31)</f>
        <v>14.196666666666667</v>
      </c>
      <c r="F25" s="2" cm="1">
        <f t="array" aca="1" ref="F25" ca="1">INDIRECT("'"&amp;$A25&amp;"'!"&amp;F$31)</f>
        <v>19.016666666666666</v>
      </c>
      <c r="G25" s="2" cm="1">
        <f t="array" aca="1" ref="G25" ca="1">INDIRECT("'"&amp;$A25&amp;"'!"&amp;G$31)</f>
        <v>23.57</v>
      </c>
      <c r="H25" s="2" cm="1">
        <f t="array" aca="1" ref="H25" ca="1">INDIRECT("'"&amp;$A25&amp;"'!"&amp;H$31)</f>
        <v>26.219999999999995</v>
      </c>
      <c r="I25" s="2" cm="1">
        <f t="array" aca="1" ref="I25" ca="1">INDIRECT("'"&amp;$A25&amp;"'!"&amp;I$31)</f>
        <v>25.75333333333333</v>
      </c>
      <c r="J25" s="2" cm="1">
        <f t="array" aca="1" ref="J25" ca="1">INDIRECT("'"&amp;$A25&amp;"'!"&amp;J$31)</f>
        <v>20.810000000000006</v>
      </c>
      <c r="K25" s="2" cm="1">
        <f t="array" aca="1" ref="K25" ca="1">INDIRECT("'"&amp;$A25&amp;"'!"&amp;K$31)</f>
        <v>16.7</v>
      </c>
      <c r="L25" s="2" cm="1">
        <f t="array" aca="1" ref="L25" ca="1">INDIRECT("'"&amp;$A25&amp;"'!"&amp;L$31)</f>
        <v>12.393333333333334</v>
      </c>
      <c r="M25" s="2" cm="1">
        <f t="array" aca="1" ref="M25" ca="1">INDIRECT("'"&amp;$A25&amp;"'!"&amp;M$31)</f>
        <v>8.7100000000000009</v>
      </c>
    </row>
    <row r="26" spans="1:13" x14ac:dyDescent="0.25">
      <c r="A26" t="s">
        <v>50</v>
      </c>
      <c r="B26" s="2" cm="1">
        <f t="array" aca="1" ref="B26" ca="1">INDIRECT("'"&amp;$A26&amp;"'!"&amp;B$31)</f>
        <v>0.83333333333333315</v>
      </c>
      <c r="C26" s="2" cm="1">
        <f t="array" aca="1" ref="C26" ca="1">INDIRECT("'"&amp;$A26&amp;"'!"&amp;C$31)</f>
        <v>2.9699999999999993</v>
      </c>
      <c r="D26" s="2" cm="1">
        <f t="array" aca="1" ref="D26" ca="1">INDIRECT("'"&amp;$A26&amp;"'!"&amp;D$31)</f>
        <v>6.6033333333333326</v>
      </c>
      <c r="E26" s="2" cm="1">
        <f t="array" aca="1" ref="E26" ca="1">INDIRECT("'"&amp;$A26&amp;"'!"&amp;E$31)</f>
        <v>11.543333333333333</v>
      </c>
      <c r="F26" s="2" cm="1">
        <f t="array" aca="1" ref="F26" ca="1">INDIRECT("'"&amp;$A26&amp;"'!"&amp;F$31)</f>
        <v>16.146666666666665</v>
      </c>
      <c r="G26" s="2" cm="1">
        <f t="array" aca="1" ref="G26" ca="1">INDIRECT("'"&amp;$A26&amp;"'!"&amp;G$31)</f>
        <v>20.220000000000002</v>
      </c>
      <c r="H26" s="2" cm="1">
        <f t="array" aca="1" ref="H26" ca="1">INDIRECT("'"&amp;$A26&amp;"'!"&amp;H$31)</f>
        <v>21.613333333333333</v>
      </c>
      <c r="I26" s="2" cm="1">
        <f t="array" aca="1" ref="I26" ca="1">INDIRECT("'"&amp;$A26&amp;"'!"&amp;I$31)</f>
        <v>20.826666666666661</v>
      </c>
      <c r="J26" s="2" cm="1">
        <f t="array" aca="1" ref="J26" ca="1">INDIRECT("'"&amp;$A26&amp;"'!"&amp;J$31)</f>
        <v>15.813333333333333</v>
      </c>
      <c r="K26" s="2" cm="1">
        <f t="array" aca="1" ref="K26" ca="1">INDIRECT("'"&amp;$A26&amp;"'!"&amp;K$31)</f>
        <v>11.416666666666666</v>
      </c>
      <c r="L26" s="2" cm="1">
        <f t="array" aca="1" ref="L26" ca="1">INDIRECT("'"&amp;$A26&amp;"'!"&amp;L$31)</f>
        <v>6.3733333333333322</v>
      </c>
      <c r="M26" s="2" cm="1">
        <f t="array" aca="1" ref="M26" ca="1">INDIRECT("'"&amp;$A26&amp;"'!"&amp;M$31)</f>
        <v>1.7566666666666668</v>
      </c>
    </row>
    <row r="27" spans="1:13" x14ac:dyDescent="0.25">
      <c r="A27" t="s">
        <v>29</v>
      </c>
      <c r="B27" s="2" cm="1">
        <f t="array" aca="1" ref="B27" ca="1">INDIRECT("'"&amp;$A27&amp;"'!"&amp;B$31)</f>
        <v>7.8633333333333333</v>
      </c>
      <c r="C27" s="2" cm="1">
        <f t="array" aca="1" ref="C27" ca="1">INDIRECT("'"&amp;$A27&amp;"'!"&amp;C$31)</f>
        <v>8.3166666666666682</v>
      </c>
      <c r="D27" s="2" cm="1">
        <f t="array" aca="1" ref="D27" ca="1">INDIRECT("'"&amp;$A27&amp;"'!"&amp;D$31)</f>
        <v>10.530000000000001</v>
      </c>
      <c r="E27" s="2" cm="1">
        <f t="array" aca="1" ref="E27" ca="1">INDIRECT("'"&amp;$A27&amp;"'!"&amp;E$31)</f>
        <v>13.919999999999998</v>
      </c>
      <c r="F27" s="2" cm="1">
        <f t="array" aca="1" ref="F27" ca="1">INDIRECT("'"&amp;$A27&amp;"'!"&amp;F$31)</f>
        <v>18.516666666666666</v>
      </c>
      <c r="G27" s="2" cm="1">
        <f t="array" aca="1" ref="G27" ca="1">INDIRECT("'"&amp;$A27&amp;"'!"&amp;G$31)</f>
        <v>22.980000000000004</v>
      </c>
      <c r="H27" s="2" cm="1">
        <f t="array" aca="1" ref="H27" ca="1">INDIRECT("'"&amp;$A27&amp;"'!"&amp;H$31)</f>
        <v>25.423333333333332</v>
      </c>
      <c r="I27" s="2" cm="1">
        <f t="array" aca="1" ref="I27" ca="1">INDIRECT("'"&amp;$A27&amp;"'!"&amp;I$31)</f>
        <v>25.009999999999998</v>
      </c>
      <c r="J27" s="2" cm="1">
        <f t="array" aca="1" ref="J27" ca="1">INDIRECT("'"&amp;$A27&amp;"'!"&amp;J$31)</f>
        <v>20.643333333333331</v>
      </c>
      <c r="K27" s="2" cm="1">
        <f t="array" aca="1" ref="K27" ca="1">INDIRECT("'"&amp;$A27&amp;"'!"&amp;K$31)</f>
        <v>16.806666666666661</v>
      </c>
      <c r="L27" s="2" cm="1">
        <f t="array" aca="1" ref="L27" ca="1">INDIRECT("'"&amp;$A27&amp;"'!"&amp;L$31)</f>
        <v>12.729999999999999</v>
      </c>
      <c r="M27" s="2" cm="1">
        <f t="array" aca="1" ref="M27" ca="1">INDIRECT("'"&amp;$A27&amp;"'!"&amp;M$31)</f>
        <v>9.2366666666666664</v>
      </c>
    </row>
    <row r="28" spans="1:13" x14ac:dyDescent="0.25">
      <c r="A28" t="s">
        <v>56</v>
      </c>
      <c r="B28" s="2" cm="1">
        <f t="array" aca="1" ref="B28" ca="1">INDIRECT("'"&amp;$A28&amp;"'!"&amp;B$31)</f>
        <v>2.5799999999999992</v>
      </c>
      <c r="C28" s="2" cm="1">
        <f t="array" aca="1" ref="C28" ca="1">INDIRECT("'"&amp;$A28&amp;"'!"&amp;C$31)</f>
        <v>4.9733333333333336</v>
      </c>
      <c r="D28" s="2" cm="1">
        <f t="array" aca="1" ref="D28" ca="1">INDIRECT("'"&amp;$A28&amp;"'!"&amp;D$31)</f>
        <v>8.6793103448275861</v>
      </c>
      <c r="E28" s="2" cm="1">
        <f t="array" aca="1" ref="E28" ca="1">INDIRECT("'"&amp;$A28&amp;"'!"&amp;E$31)</f>
        <v>13.251724137931037</v>
      </c>
      <c r="F28" s="2" cm="1">
        <f t="array" aca="1" ref="F28" ca="1">INDIRECT("'"&amp;$A28&amp;"'!"&amp;F$31)</f>
        <v>17.662068965517243</v>
      </c>
      <c r="G28" s="2" cm="1">
        <f t="array" aca="1" ref="G28" ca="1">INDIRECT("'"&amp;$A28&amp;"'!"&amp;G$31)</f>
        <v>21.727586206896554</v>
      </c>
      <c r="H28" s="2" cm="1">
        <f t="array" aca="1" ref="H28" ca="1">INDIRECT("'"&amp;$A28&amp;"'!"&amp;H$31)</f>
        <v>23.468965517241383</v>
      </c>
      <c r="I28" s="2" cm="1">
        <f t="array" aca="1" ref="I28" ca="1">INDIRECT("'"&amp;$A28&amp;"'!"&amp;I$31)</f>
        <v>22.903333333333332</v>
      </c>
      <c r="J28" s="2" cm="1">
        <f t="array" aca="1" ref="J28" ca="1">INDIRECT("'"&amp;$A28&amp;"'!"&amp;J$31)</f>
        <v>17.713333333333324</v>
      </c>
      <c r="K28" s="2" cm="1">
        <f t="array" aca="1" ref="K28" ca="1">INDIRECT("'"&amp;$A28&amp;"'!"&amp;K$31)</f>
        <v>13.12</v>
      </c>
      <c r="L28" s="2" cm="1">
        <f t="array" aca="1" ref="L28" ca="1">INDIRECT("'"&amp;$A28&amp;"'!"&amp;L$31)</f>
        <v>7.9233333333333338</v>
      </c>
      <c r="M28" s="2" cm="1">
        <f t="array" aca="1" ref="M28" ca="1">INDIRECT("'"&amp;$A28&amp;"'!"&amp;M$31)</f>
        <v>3.3833333333333329</v>
      </c>
    </row>
    <row r="29" spans="1:13" x14ac:dyDescent="0.25">
      <c r="A29" t="s">
        <v>57</v>
      </c>
      <c r="B29" s="2" cm="1">
        <f t="array" aca="1" ref="B29" ca="1">INDIRECT("'"&amp;$A29&amp;"'!"&amp;B$31)</f>
        <v>1.4733333333333329</v>
      </c>
      <c r="C29" s="2" cm="1">
        <f t="array" aca="1" ref="C29" ca="1">INDIRECT("'"&amp;$A29&amp;"'!"&amp;C$31)</f>
        <v>3.6599999999999993</v>
      </c>
      <c r="D29" s="2" cm="1">
        <f t="array" aca="1" ref="D29" ca="1">INDIRECT("'"&amp;$A29&amp;"'!"&amp;D$31)</f>
        <v>7.4466666666666681</v>
      </c>
      <c r="E29" s="2" cm="1">
        <f t="array" aca="1" ref="E29" ca="1">INDIRECT("'"&amp;$A29&amp;"'!"&amp;E$31)</f>
        <v>12.253333333333334</v>
      </c>
      <c r="F29" s="2" cm="1">
        <f t="array" aca="1" ref="F29" ca="1">INDIRECT("'"&amp;$A29&amp;"'!"&amp;F$31)</f>
        <v>16.889999999999997</v>
      </c>
      <c r="G29" s="2" cm="1">
        <f t="array" aca="1" ref="G29" ca="1">INDIRECT("'"&amp;$A29&amp;"'!"&amp;G$31)</f>
        <v>20.996666666666663</v>
      </c>
      <c r="H29" s="2" cm="1">
        <f t="array" aca="1" ref="H29" ca="1">INDIRECT("'"&amp;$A29&amp;"'!"&amp;H$31)</f>
        <v>22.553333333333331</v>
      </c>
      <c r="I29" s="2" cm="1">
        <f t="array" aca="1" ref="I29" ca="1">INDIRECT("'"&amp;$A29&amp;"'!"&amp;I$31)</f>
        <v>21.93</v>
      </c>
      <c r="J29" s="2" cm="1">
        <f t="array" aca="1" ref="J29" ca="1">INDIRECT("'"&amp;$A29&amp;"'!"&amp;J$31)</f>
        <v>16.813333333333333</v>
      </c>
      <c r="K29" s="2" cm="1">
        <f t="array" aca="1" ref="K29" ca="1">INDIRECT("'"&amp;$A29&amp;"'!"&amp;K$31)</f>
        <v>12.103333333333333</v>
      </c>
      <c r="L29" s="2" cm="1">
        <f t="array" aca="1" ref="L29" ca="1">INDIRECT("'"&amp;$A29&amp;"'!"&amp;L$31)</f>
        <v>6.9200000000000008</v>
      </c>
      <c r="M29" s="2" cm="1">
        <f t="array" aca="1" ref="M29" ca="1">INDIRECT("'"&amp;$A29&amp;"'!"&amp;M$31)</f>
        <v>2.3366666666666669</v>
      </c>
    </row>
    <row r="30" spans="1:13" x14ac:dyDescent="0.25">
      <c r="A30" t="s">
        <v>51</v>
      </c>
      <c r="B30" s="2" cm="1">
        <f t="array" aca="1" ref="B30" ca="1">INDIRECT("'"&amp;$A30&amp;"'!"&amp;B$31)</f>
        <v>-3.5166666666666666</v>
      </c>
      <c r="C30" s="2" cm="1">
        <f t="array" aca="1" ref="C30" ca="1">INDIRECT("'"&amp;$A30&amp;"'!"&amp;C$31)</f>
        <v>-3.3899999999999997</v>
      </c>
      <c r="D30" s="2" cm="1">
        <f t="array" aca="1" ref="D30" ca="1">INDIRECT("'"&amp;$A30&amp;"'!"&amp;D$31)</f>
        <v>-1.3</v>
      </c>
      <c r="E30" s="2" cm="1">
        <f t="array" aca="1" ref="E30" ca="1">INDIRECT("'"&amp;$A30&amp;"'!"&amp;E$31)</f>
        <v>2.67</v>
      </c>
      <c r="F30" s="2" cm="1">
        <f t="array" aca="1" ref="F30" ca="1">INDIRECT("'"&amp;$A30&amp;"'!"&amp;F$31)</f>
        <v>7.31</v>
      </c>
      <c r="G30" s="2" cm="1">
        <f t="array" aca="1" ref="G30" ca="1">INDIRECT("'"&amp;$A30&amp;"'!"&amp;G$31)</f>
        <v>11.75</v>
      </c>
      <c r="H30" s="2" cm="1">
        <f t="array" aca="1" ref="H30" ca="1">INDIRECT("'"&amp;$A30&amp;"'!"&amp;H$31)</f>
        <v>13.933333333333332</v>
      </c>
      <c r="I30" s="2" cm="1">
        <f t="array" aca="1" ref="I30" ca="1">INDIRECT("'"&amp;$A30&amp;"'!"&amp;I$31)</f>
        <v>13.88</v>
      </c>
      <c r="J30" s="2" cm="1">
        <f t="array" aca="1" ref="J30" ca="1">INDIRECT("'"&amp;$A30&amp;"'!"&amp;J$31)</f>
        <v>8.8400000000000016</v>
      </c>
      <c r="K30" s="2" cm="1">
        <f t="array" aca="1" ref="K30" ca="1">INDIRECT("'"&amp;$A30&amp;"'!"&amp;K$31)</f>
        <v>5.8800000000000017</v>
      </c>
      <c r="L30" s="2" cm="1">
        <f t="array" aca="1" ref="L30" ca="1">INDIRECT("'"&amp;$A30&amp;"'!"&amp;L$31)</f>
        <v>1.3233333333333333</v>
      </c>
      <c r="M30" s="2" cm="1">
        <f t="array" aca="1" ref="M30" ca="1">INDIRECT("'"&amp;$A30&amp;"'!"&amp;M$31)</f>
        <v>-2.2899999999999996</v>
      </c>
    </row>
    <row r="31" spans="1:13" x14ac:dyDescent="0.25">
      <c r="A31" t="s">
        <v>87</v>
      </c>
      <c r="B31" t="s">
        <v>86</v>
      </c>
      <c r="C31" t="s">
        <v>88</v>
      </c>
      <c r="D31" t="s">
        <v>89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  <c r="J31" t="s">
        <v>95</v>
      </c>
      <c r="K31" t="s">
        <v>96</v>
      </c>
      <c r="L31" t="s">
        <v>97</v>
      </c>
      <c r="M31" t="s">
        <v>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A7E2-86ED-40E3-A1EC-599AEAEA73AD}">
  <dimension ref="A1:M31"/>
  <sheetViews>
    <sheetView workbookViewId="0">
      <selection activeCell="B5" sqref="B5:M5"/>
    </sheetView>
  </sheetViews>
  <sheetFormatPr defaultRowHeight="15" x14ac:dyDescent="0.25"/>
  <cols>
    <col min="1" max="1" width="15.28515625" customWidth="1"/>
  </cols>
  <sheetData>
    <row r="1" spans="1:13" x14ac:dyDescent="0.25">
      <c r="A1" t="s">
        <v>85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25">
      <c r="A2" t="s">
        <v>0</v>
      </c>
      <c r="B2" s="2" cm="1">
        <f t="array" aca="1" ref="B2" ca="1">INDIRECT("'"&amp;$A2&amp;"'!"&amp;B$31)</f>
        <v>50.370000000000005</v>
      </c>
      <c r="C2" s="2" cm="1">
        <f t="array" aca="1" ref="C2" ca="1">INDIRECT("'"&amp;$A2&amp;"'!"&amp;C$31)</f>
        <v>47.756666666666668</v>
      </c>
      <c r="D2" s="2" cm="1">
        <f t="array" aca="1" ref="D2" ca="1">INDIRECT("'"&amp;$A2&amp;"'!"&amp;D$31)</f>
        <v>49.756666666666661</v>
      </c>
      <c r="E2" s="2" cm="1">
        <f t="array" aca="1" ref="E2" ca="1">INDIRECT("'"&amp;$A2&amp;"'!"&amp;E$31)</f>
        <v>56.640000000000008</v>
      </c>
      <c r="F2" s="2" cm="1">
        <f t="array" aca="1" ref="F2" ca="1">INDIRECT("'"&amp;$A2&amp;"'!"&amp;F$31)</f>
        <v>81.38000000000001</v>
      </c>
      <c r="G2" s="2" cm="1">
        <f t="array" aca="1" ref="G2" ca="1">INDIRECT("'"&amp;$A2&amp;"'!"&amp;G$31)</f>
        <v>75.77000000000001</v>
      </c>
      <c r="H2" s="2" cm="1">
        <f t="array" aca="1" ref="H2" ca="1">INDIRECT("'"&amp;$A2&amp;"'!"&amp;H$31)</f>
        <v>67.840000000000018</v>
      </c>
      <c r="I2" s="2" cm="1">
        <f t="array" aca="1" ref="I2" ca="1">INDIRECT("'"&amp;$A2&amp;"'!"&amp;I$31)</f>
        <v>72.6666666666667</v>
      </c>
      <c r="J2" s="2" cm="1">
        <f t="array" aca="1" ref="J2" ca="1">INDIRECT("'"&amp;$A2&amp;"'!"&amp;J$31)</f>
        <v>105.06333333333333</v>
      </c>
      <c r="K2" s="2" cm="1">
        <f t="array" aca="1" ref="K2" ca="1">INDIRECT("'"&amp;$A2&amp;"'!"&amp;K$31)</f>
        <v>68.283333333333331</v>
      </c>
      <c r="L2" s="2" cm="1">
        <f t="array" aca="1" ref="L2" ca="1">INDIRECT("'"&amp;$A2&amp;"'!"&amp;L$31)</f>
        <v>72.356666666666669</v>
      </c>
      <c r="M2" s="2" cm="1">
        <f t="array" aca="1" ref="M2" ca="1">INDIRECT("'"&amp;$A2&amp;"'!"&amp;M$31)</f>
        <v>62.81333333333334</v>
      </c>
    </row>
    <row r="3" spans="1:13" x14ac:dyDescent="0.25">
      <c r="A3" t="s">
        <v>30</v>
      </c>
      <c r="B3" s="2" cm="1">
        <f t="array" aca="1" ref="B3" ca="1">INDIRECT("'"&amp;$A3&amp;"'!"&amp;B$31)</f>
        <v>63.736666666666665</v>
      </c>
      <c r="C3" s="2" cm="1">
        <f t="array" aca="1" ref="C3" ca="1">INDIRECT("'"&amp;$A3&amp;"'!"&amp;C$31)</f>
        <v>54.146666666666661</v>
      </c>
      <c r="D3" s="2" cm="1">
        <f t="array" aca="1" ref="D3" ca="1">INDIRECT("'"&amp;$A3&amp;"'!"&amp;D$31)</f>
        <v>56.246666666666677</v>
      </c>
      <c r="E3" s="2" cm="1">
        <f t="array" aca="1" ref="E3" ca="1">INDIRECT("'"&amp;$A3&amp;"'!"&amp;E$31)</f>
        <v>65.863333333333316</v>
      </c>
      <c r="F3" s="2" cm="1">
        <f t="array" aca="1" ref="F3" ca="1">INDIRECT("'"&amp;$A3&amp;"'!"&amp;F$31)</f>
        <v>95.993333333333339</v>
      </c>
      <c r="G3" s="2" cm="1">
        <f t="array" aca="1" ref="G3" ca="1">INDIRECT("'"&amp;$A3&amp;"'!"&amp;G$31)</f>
        <v>93.313333333333347</v>
      </c>
      <c r="H3" s="2" cm="1">
        <f t="array" aca="1" ref="H3" ca="1">INDIRECT("'"&amp;$A3&amp;"'!"&amp;H$31)</f>
        <v>72.896666666666675</v>
      </c>
      <c r="I3" s="2" cm="1">
        <f t="array" aca="1" ref="I3" ca="1">INDIRECT("'"&amp;$A3&amp;"'!"&amp;I$31)</f>
        <v>73.973333333333329</v>
      </c>
      <c r="J3" s="2" cm="1">
        <f t="array" aca="1" ref="J3" ca="1">INDIRECT("'"&amp;$A3&amp;"'!"&amp;J$31)</f>
        <v>121.90333333333335</v>
      </c>
      <c r="K3" s="2" cm="1">
        <f t="array" aca="1" ref="K3" ca="1">INDIRECT("'"&amp;$A3&amp;"'!"&amp;K$31)</f>
        <v>73.493333333333325</v>
      </c>
      <c r="L3" s="2" cm="1">
        <f t="array" aca="1" ref="L3" ca="1">INDIRECT("'"&amp;$A3&amp;"'!"&amp;L$31)</f>
        <v>80.793333333333337</v>
      </c>
      <c r="M3" s="2" cm="1">
        <f t="array" aca="1" ref="M3" ca="1">INDIRECT("'"&amp;$A3&amp;"'!"&amp;M$31)</f>
        <v>71.750000000000014</v>
      </c>
    </row>
    <row r="4" spans="1:13" x14ac:dyDescent="0.25">
      <c r="A4" t="s">
        <v>28</v>
      </c>
      <c r="B4" s="2" cm="1">
        <f t="array" aca="1" ref="B4" ca="1">INDIRECT("'"&amp;$A4&amp;"'!"&amp;B$31)</f>
        <v>121.75666666666666</v>
      </c>
      <c r="C4" s="2" cm="1">
        <f t="array" aca="1" ref="C4" ca="1">INDIRECT("'"&amp;$A4&amp;"'!"&amp;C$31)</f>
        <v>107.39999999999999</v>
      </c>
      <c r="D4" s="2" cm="1">
        <f t="array" aca="1" ref="D4" ca="1">INDIRECT("'"&amp;$A4&amp;"'!"&amp;D$31)</f>
        <v>103.99666666666668</v>
      </c>
      <c r="E4" s="2" cm="1">
        <f t="array" aca="1" ref="E4" ca="1">INDIRECT("'"&amp;$A4&amp;"'!"&amp;E$31)</f>
        <v>82.800000000000011</v>
      </c>
      <c r="F4" s="2" cm="1">
        <f t="array" aca="1" ref="F4" ca="1">INDIRECT("'"&amp;$A4&amp;"'!"&amp;F$31)</f>
        <v>65.55</v>
      </c>
      <c r="G4" s="2" cm="1">
        <f t="array" aca="1" ref="G4" ca="1">INDIRECT("'"&amp;$A4&amp;"'!"&amp;G$31)</f>
        <v>51.376666666666672</v>
      </c>
      <c r="H4" s="2" cm="1">
        <f t="array" aca="1" ref="H4" ca="1">INDIRECT("'"&amp;$A4&amp;"'!"&amp;H$31)</f>
        <v>27.913333333333334</v>
      </c>
      <c r="I4" s="2" cm="1">
        <f t="array" aca="1" ref="I4" ca="1">INDIRECT("'"&amp;$A4&amp;"'!"&amp;I$31)</f>
        <v>58.79999999999999</v>
      </c>
      <c r="J4" s="2" cm="1">
        <f t="array" aca="1" ref="J4" ca="1">INDIRECT("'"&amp;$A4&amp;"'!"&amp;J$31)</f>
        <v>102.94666666666667</v>
      </c>
      <c r="K4" s="2" cm="1">
        <f t="array" aca="1" ref="K4" ca="1">INDIRECT("'"&amp;$A4&amp;"'!"&amp;K$31)</f>
        <v>120.30999999999999</v>
      </c>
      <c r="L4" s="2" cm="1">
        <f t="array" aca="1" ref="L4" ca="1">INDIRECT("'"&amp;$A4&amp;"'!"&amp;L$31)</f>
        <v>136.91666666666666</v>
      </c>
      <c r="M4" s="2" cm="1">
        <f t="array" aca="1" ref="M4" ca="1">INDIRECT("'"&amp;$A4&amp;"'!"&amp;M$31)</f>
        <v>147.65333333333331</v>
      </c>
    </row>
    <row r="5" spans="1:13" x14ac:dyDescent="0.25">
      <c r="A5" t="s">
        <v>31</v>
      </c>
      <c r="B5" s="2" cm="1">
        <f t="array" aca="1" ref="B5" ca="1">INDIRECT("'"&amp;$A5&amp;"'!"&amp;B$31)</f>
        <v>120.03666666666665</v>
      </c>
      <c r="C5" s="2" cm="1">
        <f t="array" aca="1" ref="C5" ca="1">INDIRECT("'"&amp;$A5&amp;"'!"&amp;C$31)</f>
        <v>107.54</v>
      </c>
      <c r="D5" s="2" cm="1">
        <f t="array" aca="1" ref="D5" ca="1">INDIRECT("'"&amp;$A5&amp;"'!"&amp;D$31)</f>
        <v>90.200000000000017</v>
      </c>
      <c r="E5" s="2" cm="1">
        <f t="array" aca="1" ref="E5" ca="1">INDIRECT("'"&amp;$A5&amp;"'!"&amp;E$31)</f>
        <v>98.26</v>
      </c>
      <c r="F5" s="2" cm="1">
        <f t="array" aca="1" ref="F5" ca="1">INDIRECT("'"&amp;$A5&amp;"'!"&amp;F$31)</f>
        <v>116.16</v>
      </c>
      <c r="G5" s="2" cm="1">
        <f t="array" aca="1" ref="G5" ca="1">INDIRECT("'"&amp;$A5&amp;"'!"&amp;G$31)</f>
        <v>80.976666666666674</v>
      </c>
      <c r="H5" s="2" cm="1">
        <f t="array" aca="1" ref="H5" ca="1">INDIRECT("'"&amp;$A5&amp;"'!"&amp;H$31)</f>
        <v>60.919999999999995</v>
      </c>
      <c r="I5" s="2" cm="1">
        <f t="array" aca="1" ref="I5" ca="1">INDIRECT("'"&amp;$A5&amp;"'!"&amp;I$31)</f>
        <v>71.476666666666659</v>
      </c>
      <c r="J5" s="2" cm="1">
        <f t="array" aca="1" ref="J5" ca="1">INDIRECT("'"&amp;$A5&amp;"'!"&amp;J$31)</f>
        <v>169.02333333333328</v>
      </c>
      <c r="K5" s="2" cm="1">
        <f t="array" aca="1" ref="K5" ca="1">INDIRECT("'"&amp;$A5&amp;"'!"&amp;K$31)</f>
        <v>144.54000000000002</v>
      </c>
      <c r="L5" s="2" cm="1">
        <f t="array" aca="1" ref="L5" ca="1">INDIRECT("'"&amp;$A5&amp;"'!"&amp;L$31)</f>
        <v>197.21</v>
      </c>
      <c r="M5" s="2" cm="1">
        <f t="array" aca="1" ref="M5" ca="1">INDIRECT("'"&amp;$A5&amp;"'!"&amp;M$31)</f>
        <v>161.29999999999998</v>
      </c>
    </row>
    <row r="6" spans="1:13" x14ac:dyDescent="0.25">
      <c r="A6" t="s">
        <v>32</v>
      </c>
      <c r="B6" s="2" cm="1">
        <f t="array" aca="1" ref="B6" ca="1">INDIRECT("'"&amp;$A6&amp;"'!"&amp;B$31)</f>
        <v>68.150000000000006</v>
      </c>
      <c r="C6" s="2" cm="1">
        <f t="array" aca="1" ref="C6" ca="1">INDIRECT("'"&amp;$A6&amp;"'!"&amp;C$31)</f>
        <v>61.493333333333332</v>
      </c>
      <c r="D6" s="2" cm="1">
        <f t="array" aca="1" ref="D6" ca="1">INDIRECT("'"&amp;$A6&amp;"'!"&amp;D$31)</f>
        <v>60.926666666666669</v>
      </c>
      <c r="E6" s="2" cm="1">
        <f t="array" aca="1" ref="E6" ca="1">INDIRECT("'"&amp;$A6&amp;"'!"&amp;E$31)</f>
        <v>55.463333333333317</v>
      </c>
      <c r="F6" s="2" cm="1">
        <f t="array" aca="1" ref="F6" ca="1">INDIRECT("'"&amp;$A6&amp;"'!"&amp;F$31)</f>
        <v>49.78</v>
      </c>
      <c r="G6" s="2" cm="1">
        <f t="array" aca="1" ref="G6" ca="1">INDIRECT("'"&amp;$A6&amp;"'!"&amp;G$31)</f>
        <v>37.306666666666665</v>
      </c>
      <c r="H6" s="2" cm="1">
        <f t="array" aca="1" ref="H6" ca="1">INDIRECT("'"&amp;$A6&amp;"'!"&amp;H$31)</f>
        <v>20.303333333333327</v>
      </c>
      <c r="I6" s="2" cm="1">
        <f t="array" aca="1" ref="I6" ca="1">INDIRECT("'"&amp;$A6&amp;"'!"&amp;I$31)</f>
        <v>40.89</v>
      </c>
      <c r="J6" s="2" cm="1">
        <f t="array" aca="1" ref="J6" ca="1">INDIRECT("'"&amp;$A6&amp;"'!"&amp;J$31)</f>
        <v>71.906666666666652</v>
      </c>
      <c r="K6" s="2" cm="1">
        <f t="array" aca="1" ref="K6" ca="1">INDIRECT("'"&amp;$A6&amp;"'!"&amp;K$31)</f>
        <v>75.369999999999976</v>
      </c>
      <c r="L6" s="2" cm="1">
        <f t="array" aca="1" ref="L6" ca="1">INDIRECT("'"&amp;$A6&amp;"'!"&amp;L$31)</f>
        <v>113.78666666666668</v>
      </c>
      <c r="M6" s="2" cm="1">
        <f t="array" aca="1" ref="M6" ca="1">INDIRECT("'"&amp;$A6&amp;"'!"&amp;M$31)</f>
        <v>106.03333333333333</v>
      </c>
    </row>
    <row r="7" spans="1:13" x14ac:dyDescent="0.25">
      <c r="A7" t="s">
        <v>33</v>
      </c>
      <c r="B7" s="2" cm="1">
        <f t="array" aca="1" ref="B7" ca="1">INDIRECT("'"&amp;$A7&amp;"'!"&amp;B$31)</f>
        <v>79.88000000000001</v>
      </c>
      <c r="C7" s="2" cm="1">
        <f t="array" aca="1" ref="C7" ca="1">INDIRECT("'"&amp;$A7&amp;"'!"&amp;C$31)</f>
        <v>74.913333333333327</v>
      </c>
      <c r="D7" s="2" cm="1">
        <f t="array" aca="1" ref="D7" ca="1">INDIRECT("'"&amp;$A7&amp;"'!"&amp;D$31)</f>
        <v>63.556666666666665</v>
      </c>
      <c r="E7" s="2" cm="1">
        <f t="array" aca="1" ref="E7" ca="1">INDIRECT("'"&amp;$A7&amp;"'!"&amp;E$31)</f>
        <v>89.039999999999992</v>
      </c>
      <c r="F7" s="2" cm="1">
        <f t="array" aca="1" ref="F7" ca="1">INDIRECT("'"&amp;$A7&amp;"'!"&amp;F$31)</f>
        <v>110.99333333333334</v>
      </c>
      <c r="G7" s="2" cm="1">
        <f t="array" aca="1" ref="G7" ca="1">INDIRECT("'"&amp;$A7&amp;"'!"&amp;G$31)</f>
        <v>90.700000000000017</v>
      </c>
      <c r="H7" s="2" cm="1">
        <f t="array" aca="1" ref="H7" ca="1">INDIRECT("'"&amp;$A7&amp;"'!"&amp;H$31)</f>
        <v>94.640000000000015</v>
      </c>
      <c r="I7" s="2" cm="1">
        <f t="array" aca="1" ref="I7" ca="1">INDIRECT("'"&amp;$A7&amp;"'!"&amp;I$31)</f>
        <v>98.236666666666679</v>
      </c>
      <c r="J7" s="2" cm="1">
        <f t="array" aca="1" ref="J7" ca="1">INDIRECT("'"&amp;$A7&amp;"'!"&amp;J$31)</f>
        <v>139.84</v>
      </c>
      <c r="K7" s="2" cm="1">
        <f t="array" aca="1" ref="K7" ca="1">INDIRECT("'"&amp;$A7&amp;"'!"&amp;K$31)</f>
        <v>99.666666666666671</v>
      </c>
      <c r="L7" s="2" cm="1">
        <f t="array" aca="1" ref="L7" ca="1">INDIRECT("'"&amp;$A7&amp;"'!"&amp;L$31)</f>
        <v>111.33999999999999</v>
      </c>
      <c r="M7" s="2" cm="1">
        <f t="array" aca="1" ref="M7" ca="1">INDIRECT("'"&amp;$A7&amp;"'!"&amp;M$31)</f>
        <v>89.806666666666672</v>
      </c>
    </row>
    <row r="8" spans="1:13" x14ac:dyDescent="0.25">
      <c r="A8" t="s">
        <v>34</v>
      </c>
      <c r="B8" s="2" cm="1">
        <f t="array" aca="1" ref="B8" ca="1">INDIRECT("'"&amp;$A8&amp;"'!"&amp;B$31)</f>
        <v>92.446666666666658</v>
      </c>
      <c r="C8" s="2" cm="1">
        <f t="array" aca="1" ref="C8" ca="1">INDIRECT("'"&amp;$A8&amp;"'!"&amp;C$31)</f>
        <v>76.183333333333337</v>
      </c>
      <c r="D8" s="2" cm="1">
        <f t="array" aca="1" ref="D8" ca="1">INDIRECT("'"&amp;$A8&amp;"'!"&amp;D$31)</f>
        <v>71.640000000000015</v>
      </c>
      <c r="E8" s="2" cm="1">
        <f t="array" aca="1" ref="E8" ca="1">INDIRECT("'"&amp;$A8&amp;"'!"&amp;E$31)</f>
        <v>88.48333333333332</v>
      </c>
      <c r="F8" s="2" cm="1">
        <f t="array" aca="1" ref="F8" ca="1">INDIRECT("'"&amp;$A8&amp;"'!"&amp;F$31)</f>
        <v>88.663333333333341</v>
      </c>
      <c r="G8" s="2" cm="1">
        <f t="array" aca="1" ref="G8" ca="1">INDIRECT("'"&amp;$A8&amp;"'!"&amp;G$31)</f>
        <v>78.61666666666666</v>
      </c>
      <c r="H8" s="2" cm="1">
        <f t="array" aca="1" ref="H8" ca="1">INDIRECT("'"&amp;$A8&amp;"'!"&amp;H$31)</f>
        <v>40.133333333333333</v>
      </c>
      <c r="I8" s="2" cm="1">
        <f t="array" aca="1" ref="I8" ca="1">INDIRECT("'"&amp;$A8&amp;"'!"&amp;I$31)</f>
        <v>72.86666666666666</v>
      </c>
      <c r="J8" s="2" cm="1">
        <f t="array" aca="1" ref="J8" ca="1">INDIRECT("'"&amp;$A8&amp;"'!"&amp;J$31)</f>
        <v>111.78000000000002</v>
      </c>
      <c r="K8" s="2" cm="1">
        <f t="array" aca="1" ref="K8" ca="1">INDIRECT("'"&amp;$A8&amp;"'!"&amp;K$31)</f>
        <v>89.84333333333332</v>
      </c>
      <c r="L8" s="2" cm="1">
        <f t="array" aca="1" ref="L8" ca="1">INDIRECT("'"&amp;$A8&amp;"'!"&amp;L$31)</f>
        <v>144.07999999999998</v>
      </c>
      <c r="M8" s="2" cm="1">
        <f t="array" aca="1" ref="M8" ca="1">INDIRECT("'"&amp;$A8&amp;"'!"&amp;M$31)</f>
        <v>118.52333333333333</v>
      </c>
    </row>
    <row r="9" spans="1:13" x14ac:dyDescent="0.25">
      <c r="A9" t="s">
        <v>35</v>
      </c>
      <c r="B9" s="2" cm="1">
        <f t="array" aca="1" ref="B9" ca="1">INDIRECT("'"&amp;$A9&amp;"'!"&amp;B$31)</f>
        <v>81.370000000000019</v>
      </c>
      <c r="C9" s="2" cm="1">
        <f t="array" aca="1" ref="C9" ca="1">INDIRECT("'"&amp;$A9&amp;"'!"&amp;C$31)</f>
        <v>68.34999999999998</v>
      </c>
      <c r="D9" s="2" cm="1">
        <f t="array" aca="1" ref="D9" ca="1">INDIRECT("'"&amp;$A9&amp;"'!"&amp;D$31)</f>
        <v>77.593333333333334</v>
      </c>
      <c r="E9" s="2" cm="1">
        <f t="array" aca="1" ref="E9" ca="1">INDIRECT("'"&amp;$A9&amp;"'!"&amp;E$31)</f>
        <v>59.780000000000008</v>
      </c>
      <c r="F9" s="2" cm="1">
        <f t="array" aca="1" ref="F9" ca="1">INDIRECT("'"&amp;$A9&amp;"'!"&amp;F$31)</f>
        <v>39.226666666666659</v>
      </c>
      <c r="G9" s="2" cm="1">
        <f t="array" aca="1" ref="G9" ca="1">INDIRECT("'"&amp;$A9&amp;"'!"&amp;G$31)</f>
        <v>42.419999999999995</v>
      </c>
      <c r="H9" s="2" cm="1">
        <f t="array" aca="1" ref="H9" ca="1">INDIRECT("'"&amp;$A9&amp;"'!"&amp;H$31)</f>
        <v>20.826666666666664</v>
      </c>
      <c r="I9" s="2" cm="1">
        <f t="array" aca="1" ref="I9" ca="1">INDIRECT("'"&amp;$A9&amp;"'!"&amp;I$31)</f>
        <v>43.990000000000009</v>
      </c>
      <c r="J9" s="2" cm="1">
        <f t="array" aca="1" ref="J9" ca="1">INDIRECT("'"&amp;$A9&amp;"'!"&amp;J$31)</f>
        <v>70.309999999999988</v>
      </c>
      <c r="K9" s="2" cm="1">
        <f t="array" aca="1" ref="K9" ca="1">INDIRECT("'"&amp;$A9&amp;"'!"&amp;K$31)</f>
        <v>53.313333333333347</v>
      </c>
      <c r="L9" s="2" cm="1">
        <f t="array" aca="1" ref="L9" ca="1">INDIRECT("'"&amp;$A9&amp;"'!"&amp;L$31)</f>
        <v>107.63333333333335</v>
      </c>
      <c r="M9" s="2" cm="1">
        <f t="array" aca="1" ref="M9" ca="1">INDIRECT("'"&amp;$A9&amp;"'!"&amp;M$31)</f>
        <v>109.50666666666666</v>
      </c>
    </row>
    <row r="10" spans="1:13" x14ac:dyDescent="0.25">
      <c r="A10" t="s">
        <v>36</v>
      </c>
      <c r="B10" s="2" cm="1">
        <f t="array" aca="1" ref="B10" ca="1">INDIRECT("'"&amp;$A10&amp;"'!"&amp;B$31)</f>
        <v>110.71999999999998</v>
      </c>
      <c r="C10" s="2" cm="1">
        <f t="array" aca="1" ref="C10" ca="1">INDIRECT("'"&amp;$A10&amp;"'!"&amp;C$31)</f>
        <v>88.49666666666667</v>
      </c>
      <c r="D10" s="2" cm="1">
        <f t="array" aca="1" ref="D10" ca="1">INDIRECT("'"&amp;$A10&amp;"'!"&amp;D$31)</f>
        <v>79.506666666666675</v>
      </c>
      <c r="E10" s="2" cm="1">
        <f t="array" aca="1" ref="E10" ca="1">INDIRECT("'"&amp;$A10&amp;"'!"&amp;E$31)</f>
        <v>71.88000000000001</v>
      </c>
      <c r="F10" s="2" cm="1">
        <f t="array" aca="1" ref="F10" ca="1">INDIRECT("'"&amp;$A10&amp;"'!"&amp;F$31)</f>
        <v>67.960000000000008</v>
      </c>
      <c r="G10" s="2" cm="1">
        <f t="array" aca="1" ref="G10" ca="1">INDIRECT("'"&amp;$A10&amp;"'!"&amp;G$31)</f>
        <v>45.836666666666673</v>
      </c>
      <c r="H10" s="2" cm="1">
        <f t="array" aca="1" ref="H10" ca="1">INDIRECT("'"&amp;$A10&amp;"'!"&amp;H$31)</f>
        <v>31.506666666666664</v>
      </c>
      <c r="I10" s="2" cm="1">
        <f t="array" aca="1" ref="I10" ca="1">INDIRECT("'"&amp;$A10&amp;"'!"&amp;I$31)</f>
        <v>48.847000000000001</v>
      </c>
      <c r="J10" s="2" cm="1">
        <f t="array" aca="1" ref="J10" ca="1">INDIRECT("'"&amp;$A10&amp;"'!"&amp;J$31)</f>
        <v>89.659999999999982</v>
      </c>
      <c r="K10" s="2" cm="1">
        <f t="array" aca="1" ref="K10" ca="1">INDIRECT("'"&amp;$A10&amp;"'!"&amp;K$31)</f>
        <v>81.536666666666676</v>
      </c>
      <c r="L10" s="2" cm="1">
        <f t="array" aca="1" ref="L10" ca="1">INDIRECT("'"&amp;$A10&amp;"'!"&amp;L$31)</f>
        <v>153.12333333333336</v>
      </c>
      <c r="M10" s="2" cm="1">
        <f t="array" aca="1" ref="M10" ca="1">INDIRECT("'"&amp;$A10&amp;"'!"&amp;M$31)</f>
        <v>147.49333333333328</v>
      </c>
    </row>
    <row r="11" spans="1:13" x14ac:dyDescent="0.25">
      <c r="A11" t="s">
        <v>55</v>
      </c>
      <c r="B11" s="2" cm="1">
        <f t="array" aca="1" ref="B11" ca="1">INDIRECT("'"&amp;$A11&amp;"'!"&amp;B$31)</f>
        <v>93.486666666666665</v>
      </c>
      <c r="C11" s="2" cm="1">
        <f t="array" aca="1" ref="C11" ca="1">INDIRECT("'"&amp;$A11&amp;"'!"&amp;C$31)</f>
        <v>78.429999999999993</v>
      </c>
      <c r="D11" s="2" cm="1">
        <f t="array" aca="1" ref="D11" ca="1">INDIRECT("'"&amp;$A11&amp;"'!"&amp;D$31)</f>
        <v>64.056666666666658</v>
      </c>
      <c r="E11" s="2" cm="1">
        <f t="array" aca="1" ref="E11" ca="1">INDIRECT("'"&amp;$A11&amp;"'!"&amp;E$31)</f>
        <v>63.413333333333327</v>
      </c>
      <c r="F11" s="2" cm="1">
        <f t="array" aca="1" ref="F11" ca="1">INDIRECT("'"&amp;$A11&amp;"'!"&amp;F$31)</f>
        <v>70.996666666666655</v>
      </c>
      <c r="G11" s="2" cm="1">
        <f t="array" aca="1" ref="G11" ca="1">INDIRECT("'"&amp;$A11&amp;"'!"&amp;G$31)</f>
        <v>48.909999999999989</v>
      </c>
      <c r="H11" s="2" cm="1">
        <f t="array" aca="1" ref="H11" ca="1">INDIRECT("'"&amp;$A11&amp;"'!"&amp;H$31)</f>
        <v>39.193333333333321</v>
      </c>
      <c r="I11" s="2" cm="1">
        <f t="array" aca="1" ref="I11" ca="1">INDIRECT("'"&amp;$A11&amp;"'!"&amp;I$31)</f>
        <v>57.840000000000011</v>
      </c>
      <c r="J11" s="2" cm="1">
        <f t="array" aca="1" ref="J11" ca="1">INDIRECT("'"&amp;$A11&amp;"'!"&amp;J$31)</f>
        <v>97.663333333333327</v>
      </c>
      <c r="K11" s="2" cm="1">
        <f t="array" aca="1" ref="K11" ca="1">INDIRECT("'"&amp;$A11&amp;"'!"&amp;K$31)</f>
        <v>121.24666666666667</v>
      </c>
      <c r="L11" s="2" cm="1">
        <f t="array" aca="1" ref="L11" ca="1">INDIRECT("'"&amp;$A11&amp;"'!"&amp;L$31)</f>
        <v>131.46666666666664</v>
      </c>
      <c r="M11" s="2" cm="1">
        <f t="array" aca="1" ref="M11" ca="1">INDIRECT("'"&amp;$A11&amp;"'!"&amp;M$31)</f>
        <v>116.65000000000003</v>
      </c>
    </row>
    <row r="12" spans="1:13" x14ac:dyDescent="0.25">
      <c r="A12" t="s">
        <v>37</v>
      </c>
      <c r="B12" s="2" cm="1">
        <f t="array" aca="1" ref="B12" ca="1">INDIRECT("'"&amp;$A12&amp;"'!"&amp;B$31)</f>
        <v>127.58</v>
      </c>
      <c r="C12" s="2" cm="1">
        <f t="array" aca="1" ref="C12" ca="1">INDIRECT("'"&amp;$A12&amp;"'!"&amp;C$31)</f>
        <v>123.08666666666664</v>
      </c>
      <c r="D12" s="2" cm="1">
        <f t="array" aca="1" ref="D12" ca="1">INDIRECT("'"&amp;$A12&amp;"'!"&amp;D$31)</f>
        <v>100.73333333333332</v>
      </c>
      <c r="E12" s="2" cm="1">
        <f t="array" aca="1" ref="E12" ca="1">INDIRECT("'"&amp;$A12&amp;"'!"&amp;E$31)</f>
        <v>125.81333333333333</v>
      </c>
      <c r="F12" s="2" cm="1">
        <f t="array" aca="1" ref="F12" ca="1">INDIRECT("'"&amp;$A12&amp;"'!"&amp;F$31)</f>
        <v>141.16666666666663</v>
      </c>
      <c r="G12" s="2" cm="1">
        <f t="array" aca="1" ref="G12" ca="1">INDIRECT("'"&amp;$A12&amp;"'!"&amp;G$31)</f>
        <v>108.29666666666667</v>
      </c>
      <c r="H12" s="2" cm="1">
        <f t="array" aca="1" ref="H12" ca="1">INDIRECT("'"&amp;$A12&amp;"'!"&amp;H$31)</f>
        <v>99.563333333333347</v>
      </c>
      <c r="I12" s="2" cm="1">
        <f t="array" aca="1" ref="I12" ca="1">INDIRECT("'"&amp;$A12&amp;"'!"&amp;I$31)</f>
        <v>102.54666666666665</v>
      </c>
      <c r="J12" s="2" cm="1">
        <f t="array" aca="1" ref="J12" ca="1">INDIRECT("'"&amp;$A12&amp;"'!"&amp;J$31)</f>
        <v>180.00666666666666</v>
      </c>
      <c r="K12" s="2" cm="1">
        <f t="array" aca="1" ref="K12" ca="1">INDIRECT("'"&amp;$A12&amp;"'!"&amp;K$31)</f>
        <v>146.84333333333331</v>
      </c>
      <c r="L12" s="2" cm="1">
        <f t="array" aca="1" ref="L12" ca="1">INDIRECT("'"&amp;$A12&amp;"'!"&amp;L$31)</f>
        <v>173.61</v>
      </c>
      <c r="M12" s="2" cm="1">
        <f t="array" aca="1" ref="M12" ca="1">INDIRECT("'"&amp;$A12&amp;"'!"&amp;M$31)</f>
        <v>161.27666666666667</v>
      </c>
    </row>
    <row r="13" spans="1:13" x14ac:dyDescent="0.25">
      <c r="A13" t="s">
        <v>38</v>
      </c>
      <c r="B13" s="2" cm="1">
        <f t="array" aca="1" ref="B13" ca="1">INDIRECT("'"&amp;$A13&amp;"'!"&amp;B$31)</f>
        <v>46.669999999999995</v>
      </c>
      <c r="C13" s="2" cm="1">
        <f t="array" aca="1" ref="C13" ca="1">INDIRECT("'"&amp;$A13&amp;"'!"&amp;C$31)</f>
        <v>42.99</v>
      </c>
      <c r="D13" s="2" cm="1">
        <f t="array" aca="1" ref="D13" ca="1">INDIRECT("'"&amp;$A13&amp;"'!"&amp;D$31)</f>
        <v>40.863333333333344</v>
      </c>
      <c r="E13" s="2" cm="1">
        <f t="array" aca="1" ref="E13" ca="1">INDIRECT("'"&amp;$A13&amp;"'!"&amp;E$31)</f>
        <v>51.536666666666669</v>
      </c>
      <c r="F13" s="2" cm="1">
        <f t="array" aca="1" ref="F13" ca="1">INDIRECT("'"&amp;$A13&amp;"'!"&amp;F$31)</f>
        <v>77.410000000000011</v>
      </c>
      <c r="G13" s="2" cm="1">
        <f t="array" aca="1" ref="G13" ca="1">INDIRECT("'"&amp;$A13&amp;"'!"&amp;G$31)</f>
        <v>80.233333333333348</v>
      </c>
      <c r="H13" s="2" cm="1">
        <f t="array" aca="1" ref="H13" ca="1">INDIRECT("'"&amp;$A13&amp;"'!"&amp;H$31)</f>
        <v>63.646666666666661</v>
      </c>
      <c r="I13" s="2" cm="1">
        <f t="array" aca="1" ref="I13" ca="1">INDIRECT("'"&amp;$A13&amp;"'!"&amp;I$31)</f>
        <v>64.289999999999992</v>
      </c>
      <c r="J13" s="2" cm="1">
        <f t="array" aca="1" ref="J13" ca="1">INDIRECT("'"&amp;$A13&amp;"'!"&amp;J$31)</f>
        <v>68.983333333333334</v>
      </c>
      <c r="K13" s="2" cm="1">
        <f t="array" aca="1" ref="K13" ca="1">INDIRECT("'"&amp;$A13&amp;"'!"&amp;K$31)</f>
        <v>55.930000000000014</v>
      </c>
      <c r="L13" s="2" cm="1">
        <f t="array" aca="1" ref="L13" ca="1">INDIRECT("'"&amp;$A13&amp;"'!"&amp;L$31)</f>
        <v>57.273333333333319</v>
      </c>
      <c r="M13" s="2" cm="1">
        <f t="array" aca="1" ref="M13" ca="1">INDIRECT("'"&amp;$A13&amp;"'!"&amp;M$31)</f>
        <v>54.680000000000014</v>
      </c>
    </row>
    <row r="14" spans="1:13" x14ac:dyDescent="0.25">
      <c r="A14" t="s">
        <v>39</v>
      </c>
      <c r="B14" s="2" cm="1">
        <f t="array" aca="1" ref="B14" ca="1">INDIRECT("'"&amp;$A14&amp;"'!"&amp;B$31)</f>
        <v>93.99</v>
      </c>
      <c r="C14" s="2" cm="1">
        <f t="array" aca="1" ref="C14" ca="1">INDIRECT("'"&amp;$A14&amp;"'!"&amp;C$31)</f>
        <v>96.483333333333348</v>
      </c>
      <c r="D14" s="2" cm="1">
        <f t="array" aca="1" ref="D14" ca="1">INDIRECT("'"&amp;$A14&amp;"'!"&amp;D$31)</f>
        <v>80.326666666666668</v>
      </c>
      <c r="E14" s="2" cm="1">
        <f t="array" aca="1" ref="E14" ca="1">INDIRECT("'"&amp;$A14&amp;"'!"&amp;E$31)</f>
        <v>86.44</v>
      </c>
      <c r="F14" s="2" cm="1">
        <f t="array" aca="1" ref="F14" ca="1">INDIRECT("'"&amp;$A14&amp;"'!"&amp;F$31)</f>
        <v>110.37999999999998</v>
      </c>
      <c r="G14" s="2" cm="1">
        <f t="array" aca="1" ref="G14" ca="1">INDIRECT("'"&amp;$A14&amp;"'!"&amp;G$31)</f>
        <v>95.949999999999989</v>
      </c>
      <c r="H14" s="2" cm="1">
        <f t="array" aca="1" ref="H14" ca="1">INDIRECT("'"&amp;$A14&amp;"'!"&amp;H$31)</f>
        <v>81.176666666666648</v>
      </c>
      <c r="I14" s="2" cm="1">
        <f t="array" aca="1" ref="I14" ca="1">INDIRECT("'"&amp;$A14&amp;"'!"&amp;I$31)</f>
        <v>105.25333333333333</v>
      </c>
      <c r="J14" s="2" cm="1">
        <f t="array" aca="1" ref="J14" ca="1">INDIRECT("'"&amp;$A14&amp;"'!"&amp;J$31)</f>
        <v>145.56333333333333</v>
      </c>
      <c r="K14" s="2" cm="1">
        <f t="array" aca="1" ref="K14" ca="1">INDIRECT("'"&amp;$A14&amp;"'!"&amp;K$31)</f>
        <v>131.65666666666667</v>
      </c>
      <c r="L14" s="2" cm="1">
        <f t="array" aca="1" ref="L14" ca="1">INDIRECT("'"&amp;$A14&amp;"'!"&amp;L$31)</f>
        <v>179.60333333333332</v>
      </c>
      <c r="M14" s="2" cm="1">
        <f t="array" aca="1" ref="M14" ca="1">INDIRECT("'"&amp;$A14&amp;"'!"&amp;M$31)</f>
        <v>128.68666666666664</v>
      </c>
    </row>
    <row r="15" spans="1:13" x14ac:dyDescent="0.25">
      <c r="A15" t="s">
        <v>40</v>
      </c>
      <c r="B15" s="2" cm="1">
        <f t="array" aca="1" ref="B15" ca="1">INDIRECT("'"&amp;$A15&amp;"'!"&amp;B$31)</f>
        <v>71.673333333333332</v>
      </c>
      <c r="C15" s="2" cm="1">
        <f t="array" aca="1" ref="C15" ca="1">INDIRECT("'"&amp;$A15&amp;"'!"&amp;C$31)</f>
        <v>85.049999999999983</v>
      </c>
      <c r="D15" s="2" cm="1">
        <f t="array" aca="1" ref="D15" ca="1">INDIRECT("'"&amp;$A15&amp;"'!"&amp;D$31)</f>
        <v>72.993333333333339</v>
      </c>
      <c r="E15" s="2" cm="1">
        <f t="array" aca="1" ref="E15" ca="1">INDIRECT("'"&amp;$A15&amp;"'!"&amp;E$31)</f>
        <v>75.370000000000019</v>
      </c>
      <c r="F15" s="2" cm="1">
        <f t="array" aca="1" ref="F15" ca="1">INDIRECT("'"&amp;$A15&amp;"'!"&amp;F$31)</f>
        <v>95.123333333333306</v>
      </c>
      <c r="G15" s="2" cm="1">
        <f t="array" aca="1" ref="G15" ca="1">INDIRECT("'"&amp;$A15&amp;"'!"&amp;G$31)</f>
        <v>90.296666666666667</v>
      </c>
      <c r="H15" s="2" cm="1">
        <f t="array" aca="1" ref="H15" ca="1">INDIRECT("'"&amp;$A15&amp;"'!"&amp;H$31)</f>
        <v>68.543333333333322</v>
      </c>
      <c r="I15" s="2" cm="1">
        <f t="array" aca="1" ref="I15" ca="1">INDIRECT("'"&amp;$A15&amp;"'!"&amp;I$31)</f>
        <v>86.946666666666658</v>
      </c>
      <c r="J15" s="2" cm="1">
        <f t="array" aca="1" ref="J15" ca="1">INDIRECT("'"&amp;$A15&amp;"'!"&amp;J$31)</f>
        <v>117.70666666666668</v>
      </c>
      <c r="K15" s="2" cm="1">
        <f t="array" aca="1" ref="K15" ca="1">INDIRECT("'"&amp;$A15&amp;"'!"&amp;K$31)</f>
        <v>103.32333333333332</v>
      </c>
      <c r="L15" s="2" cm="1">
        <f t="array" aca="1" ref="L15" ca="1">INDIRECT("'"&amp;$A15&amp;"'!"&amp;L$31)</f>
        <v>150.65</v>
      </c>
      <c r="M15" s="2" cm="1">
        <f t="array" aca="1" ref="M15" ca="1">INDIRECT("'"&amp;$A15&amp;"'!"&amp;M$31)</f>
        <v>118.10666666666665</v>
      </c>
    </row>
    <row r="16" spans="1:13" x14ac:dyDescent="0.25">
      <c r="A16" t="s">
        <v>41</v>
      </c>
      <c r="B16" s="2" cm="1">
        <f t="array" aca="1" ref="B16" ca="1">INDIRECT("'"&amp;$A16&amp;"'!"&amp;B$31)</f>
        <v>125.13000000000002</v>
      </c>
      <c r="C16" s="2" cm="1">
        <f t="array" aca="1" ref="C16" ca="1">INDIRECT("'"&amp;$A16&amp;"'!"&amp;C$31)</f>
        <v>96.166666666666686</v>
      </c>
      <c r="D16" s="2" cm="1">
        <f t="array" aca="1" ref="D16" ca="1">INDIRECT("'"&amp;$A16&amp;"'!"&amp;D$31)</f>
        <v>99.249999999999972</v>
      </c>
      <c r="E16" s="2" cm="1">
        <f t="array" aca="1" ref="E16" ca="1">INDIRECT("'"&amp;$A16&amp;"'!"&amp;E$31)</f>
        <v>83.443333333333342</v>
      </c>
      <c r="F16" s="2" cm="1">
        <f t="array" aca="1" ref="F16" ca="1">INDIRECT("'"&amp;$A16&amp;"'!"&amp;F$31)</f>
        <v>65.233333333333334</v>
      </c>
      <c r="G16" s="2" cm="1">
        <f t="array" aca="1" ref="G16" ca="1">INDIRECT("'"&amp;$A16&amp;"'!"&amp;G$31)</f>
        <v>48.019999999999996</v>
      </c>
      <c r="H16" s="2" cm="1">
        <f t="array" aca="1" ref="H16" ca="1">INDIRECT("'"&amp;$A16&amp;"'!"&amp;H$31)</f>
        <v>26.52</v>
      </c>
      <c r="I16" s="2" cm="1">
        <f t="array" aca="1" ref="I16" ca="1">INDIRECT("'"&amp;$A16&amp;"'!"&amp;I$31)</f>
        <v>51.64</v>
      </c>
      <c r="J16" s="2" cm="1">
        <f t="array" aca="1" ref="J16" ca="1">INDIRECT("'"&amp;$A16&amp;"'!"&amp;J$31)</f>
        <v>107.16333333333334</v>
      </c>
      <c r="K16" s="2" cm="1">
        <f t="array" aca="1" ref="K16" ca="1">INDIRECT("'"&amp;$A16&amp;"'!"&amp;K$31)</f>
        <v>91.760000000000034</v>
      </c>
      <c r="L16" s="2" cm="1">
        <f t="array" aca="1" ref="L16" ca="1">INDIRECT("'"&amp;$A16&amp;"'!"&amp;L$31)</f>
        <v>163.24666666666664</v>
      </c>
      <c r="M16" s="2" cm="1">
        <f t="array" aca="1" ref="M16" ca="1">INDIRECT("'"&amp;$A16&amp;"'!"&amp;M$31)</f>
        <v>160.48999999999998</v>
      </c>
    </row>
    <row r="17" spans="1:13" x14ac:dyDescent="0.25">
      <c r="A17" t="s">
        <v>42</v>
      </c>
      <c r="B17" s="2" cm="1">
        <f t="array" aca="1" ref="B17" ca="1">INDIRECT("'"&amp;$A17&amp;"'!"&amp;B$31)</f>
        <v>63.713793103448268</v>
      </c>
      <c r="C17" s="2" cm="1">
        <f t="array" aca="1" ref="C17" ca="1">INDIRECT("'"&amp;$A17&amp;"'!"&amp;C$31)</f>
        <v>65.086666666666673</v>
      </c>
      <c r="D17" s="2" cm="1">
        <f t="array" aca="1" ref="D17" ca="1">INDIRECT("'"&amp;$A17&amp;"'!"&amp;D$31)</f>
        <v>56.553333333333327</v>
      </c>
      <c r="E17" s="2" cm="1">
        <f t="array" aca="1" ref="E17" ca="1">INDIRECT("'"&amp;$A17&amp;"'!"&amp;E$31)</f>
        <v>53.273333333333333</v>
      </c>
      <c r="F17" s="2" cm="1">
        <f t="array" aca="1" ref="F17" ca="1">INDIRECT("'"&amp;$A17&amp;"'!"&amp;F$31)</f>
        <v>64.629999999999981</v>
      </c>
      <c r="G17" s="2" cm="1">
        <f t="array" aca="1" ref="G17" ca="1">INDIRECT("'"&amp;$A17&amp;"'!"&amp;G$31)</f>
        <v>46.13333333333334</v>
      </c>
      <c r="H17" s="2" cm="1">
        <f t="array" aca="1" ref="H17" ca="1">INDIRECT("'"&amp;$A17&amp;"'!"&amp;H$31)</f>
        <v>41.86666666666666</v>
      </c>
      <c r="I17" s="2" cm="1">
        <f t="array" aca="1" ref="I17" ca="1">INDIRECT("'"&amp;$A17&amp;"'!"&amp;I$31)</f>
        <v>60.143333333333338</v>
      </c>
      <c r="J17" s="2" cm="1">
        <f t="array" aca="1" ref="J17" ca="1">INDIRECT("'"&amp;$A17&amp;"'!"&amp;J$31)</f>
        <v>106.59666666666666</v>
      </c>
      <c r="K17" s="2" cm="1">
        <f t="array" aca="1" ref="K17" ca="1">INDIRECT("'"&amp;$A17&amp;"'!"&amp;K$31)</f>
        <v>80.16</v>
      </c>
      <c r="L17" s="2" cm="1">
        <f t="array" aca="1" ref="L17" ca="1">INDIRECT("'"&amp;$A17&amp;"'!"&amp;L$31)</f>
        <v>119.1103448275862</v>
      </c>
      <c r="M17" s="2" cm="1">
        <f t="array" aca="1" ref="M17" ca="1">INDIRECT("'"&amp;$A17&amp;"'!"&amp;M$31)</f>
        <v>91.048275862068962</v>
      </c>
    </row>
    <row r="18" spans="1:13" x14ac:dyDescent="0.25">
      <c r="A18" t="s">
        <v>59</v>
      </c>
      <c r="B18" s="2" cm="1">
        <f t="array" aca="1" ref="B18" ca="1">INDIRECT("'"&amp;$A18&amp;"'!"&amp;B$31)</f>
        <v>77.559999999999988</v>
      </c>
      <c r="C18" s="2" cm="1">
        <f t="array" aca="1" ref="C18" ca="1">INDIRECT("'"&amp;$A18&amp;"'!"&amp;C$31)</f>
        <v>84.173333333333318</v>
      </c>
      <c r="D18" s="2" cm="1">
        <f t="array" aca="1" ref="D18" ca="1">INDIRECT("'"&amp;$A18&amp;"'!"&amp;D$31)</f>
        <v>75.783333333333331</v>
      </c>
      <c r="E18" s="2" cm="1">
        <f t="array" aca="1" ref="E18" ca="1">INDIRECT("'"&amp;$A18&amp;"'!"&amp;E$31)</f>
        <v>89.063333333333318</v>
      </c>
      <c r="F18" s="2" cm="1">
        <f t="array" aca="1" ref="F18" ca="1">INDIRECT("'"&amp;$A18&amp;"'!"&amp;F$31)</f>
        <v>116.63666666666667</v>
      </c>
      <c r="G18" s="2" cm="1">
        <f t="array" aca="1" ref="G18" ca="1">INDIRECT("'"&amp;$A18&amp;"'!"&amp;G$31)</f>
        <v>120.08999999999995</v>
      </c>
      <c r="H18" s="2" cm="1">
        <f t="array" aca="1" ref="H18" ca="1">INDIRECT("'"&amp;$A18&amp;"'!"&amp;H$31)</f>
        <v>118.86551724137931</v>
      </c>
      <c r="I18" s="2" cm="1">
        <f t="array" aca="1" ref="I18" ca="1">INDIRECT("'"&amp;$A18&amp;"'!"&amp;I$31)</f>
        <v>109.43333333333337</v>
      </c>
      <c r="J18" s="2" cm="1">
        <f t="array" aca="1" ref="J18" ca="1">INDIRECT("'"&amp;$A18&amp;"'!"&amp;J$31)</f>
        <v>148.98999999999998</v>
      </c>
      <c r="K18" s="2" cm="1">
        <f t="array" aca="1" ref="K18" ca="1">INDIRECT("'"&amp;$A18&amp;"'!"&amp;K$31)</f>
        <v>110.64333333333335</v>
      </c>
      <c r="L18" s="2" cm="1">
        <f t="array" aca="1" ref="L18" ca="1">INDIRECT("'"&amp;$A18&amp;"'!"&amp;L$31)</f>
        <v>118.48333333333336</v>
      </c>
      <c r="M18" s="2" cm="1">
        <f t="array" aca="1" ref="M18" ca="1">INDIRECT("'"&amp;$A18&amp;"'!"&amp;M$31)</f>
        <v>96.5</v>
      </c>
    </row>
    <row r="19" spans="1:13" x14ac:dyDescent="0.25">
      <c r="A19" t="s">
        <v>44</v>
      </c>
      <c r="B19" s="2" cm="1">
        <f t="array" aca="1" ref="B19" ca="1">INDIRECT("'"&amp;$A19&amp;"'!"&amp;B$31)</f>
        <v>99.383333333333312</v>
      </c>
      <c r="C19" s="2" cm="1">
        <f t="array" aca="1" ref="C19" ca="1">INDIRECT("'"&amp;$A19&amp;"'!"&amp;C$31)</f>
        <v>88.746666666666655</v>
      </c>
      <c r="D19" s="2" cm="1">
        <f t="array" aca="1" ref="D19" ca="1">INDIRECT("'"&amp;$A19&amp;"'!"&amp;D$31)</f>
        <v>65.11333333333333</v>
      </c>
      <c r="E19" s="2" cm="1">
        <f t="array" aca="1" ref="E19" ca="1">INDIRECT("'"&amp;$A19&amp;"'!"&amp;E$31)</f>
        <v>74.073333333333338</v>
      </c>
      <c r="F19" s="2" cm="1">
        <f t="array" aca="1" ref="F19" ca="1">INDIRECT("'"&amp;$A19&amp;"'!"&amp;F$31)</f>
        <v>81.126666666666679</v>
      </c>
      <c r="G19" s="2" cm="1">
        <f t="array" aca="1" ref="G19" ca="1">INDIRECT("'"&amp;$A19&amp;"'!"&amp;G$31)</f>
        <v>56.5</v>
      </c>
      <c r="H19" s="2" cm="1">
        <f t="array" aca="1" ref="H19" ca="1">INDIRECT("'"&amp;$A19&amp;"'!"&amp;H$31)</f>
        <v>48.426666666666662</v>
      </c>
      <c r="I19" s="2" cm="1">
        <f t="array" aca="1" ref="I19" ca="1">INDIRECT("'"&amp;$A19&amp;"'!"&amp;I$31)</f>
        <v>58.823333333333345</v>
      </c>
      <c r="J19" s="2" cm="1">
        <f t="array" aca="1" ref="J19" ca="1">INDIRECT("'"&amp;$A19&amp;"'!"&amp;J$31)</f>
        <v>156.37333333333333</v>
      </c>
      <c r="K19" s="2" cm="1">
        <f t="array" aca="1" ref="K19" ca="1">INDIRECT("'"&amp;$A19&amp;"'!"&amp;K$31)</f>
        <v>122.27333333333331</v>
      </c>
      <c r="L19" s="2" cm="1">
        <f t="array" aca="1" ref="L19" ca="1">INDIRECT("'"&amp;$A19&amp;"'!"&amp;L$31)</f>
        <v>145.75</v>
      </c>
      <c r="M19" s="2" cm="1">
        <f t="array" aca="1" ref="M19" ca="1">INDIRECT("'"&amp;$A19&amp;"'!"&amp;M$31)</f>
        <v>119.05000000000003</v>
      </c>
    </row>
    <row r="20" spans="1:13" x14ac:dyDescent="0.25">
      <c r="A20" t="s">
        <v>45</v>
      </c>
      <c r="B20" s="2" cm="1">
        <f t="array" aca="1" ref="B20" ca="1">INDIRECT("'"&amp;$A20&amp;"'!"&amp;B$31)</f>
        <v>138.1933333333333</v>
      </c>
      <c r="C20" s="2" cm="1">
        <f t="array" aca="1" ref="C20" ca="1">INDIRECT("'"&amp;$A20&amp;"'!"&amp;C$31)</f>
        <v>134.29666666666665</v>
      </c>
      <c r="D20" s="2" cm="1">
        <f t="array" aca="1" ref="D20" ca="1">INDIRECT("'"&amp;$A20&amp;"'!"&amp;D$31)</f>
        <v>111.09666666666666</v>
      </c>
      <c r="E20" s="2" cm="1">
        <f t="array" aca="1" ref="E20" ca="1">INDIRECT("'"&amp;$A20&amp;"'!"&amp;E$31)</f>
        <v>102.24000000000001</v>
      </c>
      <c r="F20" s="2" cm="1">
        <f t="array" aca="1" ref="F20" ca="1">INDIRECT("'"&amp;$A20&amp;"'!"&amp;F$31)</f>
        <v>120.05666666666666</v>
      </c>
      <c r="G20" s="2" cm="1">
        <f t="array" aca="1" ref="G20" ca="1">INDIRECT("'"&amp;$A20&amp;"'!"&amp;G$31)</f>
        <v>80.7</v>
      </c>
      <c r="H20" s="2" cm="1">
        <f t="array" aca="1" ref="H20" ca="1">INDIRECT("'"&amp;$A20&amp;"'!"&amp;H$31)</f>
        <v>75.026666666666657</v>
      </c>
      <c r="I20" s="2" cm="1">
        <f t="array" aca="1" ref="I20" ca="1">INDIRECT("'"&amp;$A20&amp;"'!"&amp;I$31)</f>
        <v>93.606666666666669</v>
      </c>
      <c r="J20" s="2" cm="1">
        <f t="array" aca="1" ref="J20" ca="1">INDIRECT("'"&amp;$A20&amp;"'!"&amp;J$31)</f>
        <v>196.42999999999998</v>
      </c>
      <c r="K20" s="2" cm="1">
        <f t="array" aca="1" ref="K20" ca="1">INDIRECT("'"&amp;$A20&amp;"'!"&amp;K$31)</f>
        <v>198.83333333333329</v>
      </c>
      <c r="L20" s="2" cm="1">
        <f t="array" aca="1" ref="L20" ca="1">INDIRECT("'"&amp;$A20&amp;"'!"&amp;L$31)</f>
        <v>205.9666666666667</v>
      </c>
      <c r="M20" s="2" cm="1">
        <f t="array" aca="1" ref="M20" ca="1">INDIRECT("'"&amp;$A20&amp;"'!"&amp;M$31)</f>
        <v>177.43</v>
      </c>
    </row>
    <row r="21" spans="1:13" x14ac:dyDescent="0.25">
      <c r="A21" t="s">
        <v>46</v>
      </c>
      <c r="B21" s="2" cm="1">
        <f t="array" aca="1" ref="B21" ca="1">INDIRECT("'"&amp;$A21&amp;"'!"&amp;B$31)</f>
        <v>107.08333333333333</v>
      </c>
      <c r="C21" s="2" cm="1">
        <f t="array" aca="1" ref="C21" ca="1">INDIRECT("'"&amp;$A21&amp;"'!"&amp;C$31)</f>
        <v>100.97333333333336</v>
      </c>
      <c r="D21" s="2" cm="1">
        <f t="array" aca="1" ref="D21" ca="1">INDIRECT("'"&amp;$A21&amp;"'!"&amp;D$31)</f>
        <v>77.156666666666666</v>
      </c>
      <c r="E21" s="2" cm="1">
        <f t="array" aca="1" ref="E21" ca="1">INDIRECT("'"&amp;$A21&amp;"'!"&amp;E$31)</f>
        <v>96.249999999999986</v>
      </c>
      <c r="F21" s="2" cm="1">
        <f t="array" aca="1" ref="F21" ca="1">INDIRECT("'"&amp;$A21&amp;"'!"&amp;F$31)</f>
        <v>95.103333333333325</v>
      </c>
      <c r="G21" s="2" cm="1">
        <f t="array" aca="1" ref="G21" ca="1">INDIRECT("'"&amp;$A21&amp;"'!"&amp;G$31)</f>
        <v>68.583333333333329</v>
      </c>
      <c r="H21" s="2" cm="1">
        <f t="array" aca="1" ref="H21" ca="1">INDIRECT("'"&amp;$A21&amp;"'!"&amp;H$31)</f>
        <v>58.383333333333347</v>
      </c>
      <c r="I21" s="2" cm="1">
        <f t="array" aca="1" ref="I21" ca="1">INDIRECT("'"&amp;$A21&amp;"'!"&amp;I$31)</f>
        <v>77.896666666666675</v>
      </c>
      <c r="J21" s="2" cm="1">
        <f t="array" aca="1" ref="J21" ca="1">INDIRECT("'"&amp;$A21&amp;"'!"&amp;J$31)</f>
        <v>165.53000000000006</v>
      </c>
      <c r="K21" s="2" cm="1">
        <f t="array" aca="1" ref="K21" ca="1">INDIRECT("'"&amp;$A21&amp;"'!"&amp;K$31)</f>
        <v>141.62333333333336</v>
      </c>
      <c r="L21" s="2" cm="1">
        <f t="array" aca="1" ref="L21" ca="1">INDIRECT("'"&amp;$A21&amp;"'!"&amp;L$31)</f>
        <v>175.3066666666667</v>
      </c>
      <c r="M21" s="2" cm="1">
        <f t="array" aca="1" ref="M21" ca="1">INDIRECT("'"&amp;$A21&amp;"'!"&amp;M$31)</f>
        <v>139.44999999999996</v>
      </c>
    </row>
    <row r="22" spans="1:13" x14ac:dyDescent="0.25">
      <c r="A22" t="s">
        <v>47</v>
      </c>
      <c r="B22" s="2" cm="1">
        <f t="array" aca="1" ref="B22" ca="1">INDIRECT("'"&amp;$A22&amp;"'!"&amp;B$31)</f>
        <v>65.320000000000007</v>
      </c>
      <c r="C22" s="2" cm="1">
        <f t="array" aca="1" ref="C22" ca="1">INDIRECT("'"&amp;$A22&amp;"'!"&amp;C$31)</f>
        <v>59.070000000000007</v>
      </c>
      <c r="D22" s="2" cm="1">
        <f t="array" aca="1" ref="D22" ca="1">INDIRECT("'"&amp;$A22&amp;"'!"&amp;D$31)</f>
        <v>56.23666666666665</v>
      </c>
      <c r="E22" s="2" cm="1">
        <f t="array" aca="1" ref="E22" ca="1">INDIRECT("'"&amp;$A22&amp;"'!"&amp;E$31)</f>
        <v>72.75333333333333</v>
      </c>
      <c r="F22" s="2" cm="1">
        <f t="array" aca="1" ref="F22" ca="1">INDIRECT("'"&amp;$A22&amp;"'!"&amp;F$31)</f>
        <v>97.793333333333322</v>
      </c>
      <c r="G22" s="2" cm="1">
        <f t="array" aca="1" ref="G22" ca="1">INDIRECT("'"&amp;$A22&amp;"'!"&amp;G$31)</f>
        <v>88.223333333333343</v>
      </c>
      <c r="H22" s="2" cm="1">
        <f t="array" aca="1" ref="H22" ca="1">INDIRECT("'"&amp;$A22&amp;"'!"&amp;H$31)</f>
        <v>84.736666666666679</v>
      </c>
      <c r="I22" s="2" cm="1">
        <f t="array" aca="1" ref="I22" ca="1">INDIRECT("'"&amp;$A22&amp;"'!"&amp;I$31)</f>
        <v>74.11999999999999</v>
      </c>
      <c r="J22" s="2" cm="1">
        <f t="array" aca="1" ref="J22" ca="1">INDIRECT("'"&amp;$A22&amp;"'!"&amp;J$31)</f>
        <v>119.25333333333334</v>
      </c>
      <c r="K22" s="2" cm="1">
        <f t="array" aca="1" ref="K22" ca="1">INDIRECT("'"&amp;$A22&amp;"'!"&amp;K$31)</f>
        <v>79.289999999999992</v>
      </c>
      <c r="L22" s="2" cm="1">
        <f t="array" aca="1" ref="L22" ca="1">INDIRECT("'"&amp;$A22&amp;"'!"&amp;L$31)</f>
        <v>96.660000000000011</v>
      </c>
      <c r="M22" s="2" cm="1">
        <f t="array" aca="1" ref="M22" ca="1">INDIRECT("'"&amp;$A22&amp;"'!"&amp;M$31)</f>
        <v>72.033333333333303</v>
      </c>
    </row>
    <row r="23" spans="1:13" x14ac:dyDescent="0.25">
      <c r="A23" t="s">
        <v>58</v>
      </c>
      <c r="B23" s="2" cm="1">
        <f t="array" aca="1" ref="B23" ca="1">INDIRECT("'"&amp;$A23&amp;"'!"&amp;B$31)</f>
        <v>53.38666666666667</v>
      </c>
      <c r="C23" s="2" cm="1">
        <f t="array" aca="1" ref="C23" ca="1">INDIRECT("'"&amp;$A23&amp;"'!"&amp;C$31)</f>
        <v>45.696666666666665</v>
      </c>
      <c r="D23" s="2" cm="1">
        <f t="array" aca="1" ref="D23" ca="1">INDIRECT("'"&amp;$A23&amp;"'!"&amp;D$31)</f>
        <v>46.33666666666668</v>
      </c>
      <c r="E23" s="2" cm="1">
        <f t="array" aca="1" ref="E23" ca="1">INDIRECT("'"&amp;$A23&amp;"'!"&amp;E$31)</f>
        <v>60.660000000000011</v>
      </c>
      <c r="F23" s="2" cm="1">
        <f t="array" aca="1" ref="F23" ca="1">INDIRECT("'"&amp;$A23&amp;"'!"&amp;F$31)</f>
        <v>84.00344827586207</v>
      </c>
      <c r="G23" s="2" cm="1">
        <f t="array" aca="1" ref="G23" ca="1">INDIRECT("'"&amp;$A23&amp;"'!"&amp;G$31)</f>
        <v>78.243333333333339</v>
      </c>
      <c r="H23" s="2" cm="1">
        <f t="array" aca="1" ref="H23" ca="1">INDIRECT("'"&amp;$A23&amp;"'!"&amp;H$31)</f>
        <v>73.996666666666655</v>
      </c>
      <c r="I23" s="2" cm="1">
        <f t="array" aca="1" ref="I23" ca="1">INDIRECT("'"&amp;$A23&amp;"'!"&amp;I$31)</f>
        <v>61.793333333333329</v>
      </c>
      <c r="J23" s="2" cm="1">
        <f t="array" aca="1" ref="J23" ca="1">INDIRECT("'"&amp;$A23&amp;"'!"&amp;J$31)</f>
        <v>82.966666666666654</v>
      </c>
      <c r="K23" s="2" cm="1">
        <f t="array" aca="1" ref="K23" ca="1">INDIRECT("'"&amp;$A23&amp;"'!"&amp;K$31)</f>
        <v>64.563333333333318</v>
      </c>
      <c r="L23" s="2" cm="1">
        <f t="array" aca="1" ref="L23" ca="1">INDIRECT("'"&amp;$A23&amp;"'!"&amp;L$31)</f>
        <v>70.029999999999987</v>
      </c>
      <c r="M23" s="2" cm="1">
        <f t="array" aca="1" ref="M23" ca="1">INDIRECT("'"&amp;$A23&amp;"'!"&amp;M$31)</f>
        <v>64.15333333333335</v>
      </c>
    </row>
    <row r="24" spans="1:13" x14ac:dyDescent="0.25">
      <c r="A24" t="s">
        <v>48</v>
      </c>
      <c r="B24" s="2" cm="1">
        <f t="array" aca="1" ref="B24" ca="1">INDIRECT("'"&amp;$A24&amp;"'!"&amp;B$31)</f>
        <v>78.276666666666685</v>
      </c>
      <c r="C24" s="2" cm="1">
        <f t="array" aca="1" ref="C24" ca="1">INDIRECT("'"&amp;$A24&amp;"'!"&amp;C$31)</f>
        <v>64.646666666666661</v>
      </c>
      <c r="D24" s="2" cm="1">
        <f t="array" aca="1" ref="D24" ca="1">INDIRECT("'"&amp;$A24&amp;"'!"&amp;D$31)</f>
        <v>61.599999999999987</v>
      </c>
      <c r="E24" s="2" cm="1">
        <f t="array" aca="1" ref="E24" ca="1">INDIRECT("'"&amp;$A24&amp;"'!"&amp;E$31)</f>
        <v>62.226666666666667</v>
      </c>
      <c r="F24" s="2" cm="1">
        <f t="array" aca="1" ref="F24" ca="1">INDIRECT("'"&amp;$A24&amp;"'!"&amp;F$31)</f>
        <v>61.740000000000009</v>
      </c>
      <c r="G24" s="2" cm="1">
        <f t="array" aca="1" ref="G24" ca="1">INDIRECT("'"&amp;$A24&amp;"'!"&amp;G$31)</f>
        <v>44.813333333333347</v>
      </c>
      <c r="H24" s="2" cm="1">
        <f t="array" aca="1" ref="H24" ca="1">INDIRECT("'"&amp;$A24&amp;"'!"&amp;H$31)</f>
        <v>23.256666666666664</v>
      </c>
      <c r="I24" s="2" cm="1">
        <f t="array" aca="1" ref="I24" ca="1">INDIRECT("'"&amp;$A24&amp;"'!"&amp;I$31)</f>
        <v>40.783333333333339</v>
      </c>
      <c r="J24" s="2" cm="1">
        <f t="array" aca="1" ref="J24" ca="1">INDIRECT("'"&amp;$A24&amp;"'!"&amp;J$31)</f>
        <v>83.52</v>
      </c>
      <c r="K24" s="2" cm="1">
        <f t="array" aca="1" ref="K24" ca="1">INDIRECT("'"&amp;$A24&amp;"'!"&amp;K$31)</f>
        <v>71.836666666666645</v>
      </c>
      <c r="L24" s="2" cm="1">
        <f t="array" aca="1" ref="L24" ca="1">INDIRECT("'"&amp;$A24&amp;"'!"&amp;L$31)</f>
        <v>123.54999999999998</v>
      </c>
      <c r="M24" s="2" cm="1">
        <f t="array" aca="1" ref="M24" ca="1">INDIRECT("'"&amp;$A24&amp;"'!"&amp;M$31)</f>
        <v>105.93</v>
      </c>
    </row>
    <row r="25" spans="1:13" x14ac:dyDescent="0.25">
      <c r="A25" t="s">
        <v>49</v>
      </c>
      <c r="B25" s="2" cm="1">
        <f t="array" aca="1" ref="B25" ca="1">INDIRECT("'"&amp;$A25&amp;"'!"&amp;B$31)</f>
        <v>73.98</v>
      </c>
      <c r="C25" s="2" cm="1">
        <f t="array" aca="1" ref="C25" ca="1">INDIRECT("'"&amp;$A25&amp;"'!"&amp;C$31)</f>
        <v>60.059999999999995</v>
      </c>
      <c r="D25" s="2" cm="1">
        <f t="array" aca="1" ref="D25" ca="1">INDIRECT("'"&amp;$A25&amp;"'!"&amp;D$31)</f>
        <v>57.356666666666655</v>
      </c>
      <c r="E25" s="2" cm="1">
        <f t="array" aca="1" ref="E25" ca="1">INDIRECT("'"&amp;$A25&amp;"'!"&amp;E$31)</f>
        <v>60.679999999999986</v>
      </c>
      <c r="F25" s="2" cm="1">
        <f t="array" aca="1" ref="F25" ca="1">INDIRECT("'"&amp;$A25&amp;"'!"&amp;F$31)</f>
        <v>50.853333333333339</v>
      </c>
      <c r="G25" s="2" cm="1">
        <f t="array" aca="1" ref="G25" ca="1">INDIRECT("'"&amp;$A25&amp;"'!"&amp;G$31)</f>
        <v>46.956666666666663</v>
      </c>
      <c r="H25" s="2" cm="1">
        <f t="array" aca="1" ref="H25" ca="1">INDIRECT("'"&amp;$A25&amp;"'!"&amp;H$31)</f>
        <v>26.376666666666669</v>
      </c>
      <c r="I25" s="2" cm="1">
        <f t="array" aca="1" ref="I25" ca="1">INDIRECT("'"&amp;$A25&amp;"'!"&amp;I$31)</f>
        <v>40.563333333333347</v>
      </c>
      <c r="J25" s="2" cm="1">
        <f t="array" aca="1" ref="J25" ca="1">INDIRECT("'"&amp;$A25&amp;"'!"&amp;J$31)</f>
        <v>92.559999999999988</v>
      </c>
      <c r="K25" s="2" cm="1">
        <f t="array" aca="1" ref="K25" ca="1">INDIRECT("'"&amp;$A25&amp;"'!"&amp;K$31)</f>
        <v>72.98</v>
      </c>
      <c r="L25" s="2" cm="1">
        <f t="array" aca="1" ref="L25" ca="1">INDIRECT("'"&amp;$A25&amp;"'!"&amp;L$31)</f>
        <v>122.83666666666667</v>
      </c>
      <c r="M25" s="2" cm="1">
        <f t="array" aca="1" ref="M25" ca="1">INDIRECT("'"&amp;$A25&amp;"'!"&amp;M$31)</f>
        <v>104.46</v>
      </c>
    </row>
    <row r="26" spans="1:13" x14ac:dyDescent="0.25">
      <c r="A26" t="s">
        <v>50</v>
      </c>
      <c r="B26" s="2" cm="1">
        <f t="array" aca="1" ref="B26" ca="1">INDIRECT("'"&amp;$A26&amp;"'!"&amp;B$31)</f>
        <v>47.106666666666676</v>
      </c>
      <c r="C26" s="2" cm="1">
        <f t="array" aca="1" ref="C26" ca="1">INDIRECT("'"&amp;$A26&amp;"'!"&amp;C$31)</f>
        <v>47.863333333333344</v>
      </c>
      <c r="D26" s="2" cm="1">
        <f t="array" aca="1" ref="D26" ca="1">INDIRECT("'"&amp;$A26&amp;"'!"&amp;D$31)</f>
        <v>49.346666666666664</v>
      </c>
      <c r="E26" s="2" cm="1">
        <f t="array" aca="1" ref="E26" ca="1">INDIRECT("'"&amp;$A26&amp;"'!"&amp;E$31)</f>
        <v>62.103333333333339</v>
      </c>
      <c r="F26" s="2" cm="1">
        <f t="array" aca="1" ref="F26" ca="1">INDIRECT("'"&amp;$A26&amp;"'!"&amp;F$31)</f>
        <v>86.396666666666661</v>
      </c>
      <c r="G26" s="2" cm="1">
        <f t="array" aca="1" ref="G26" ca="1">INDIRECT("'"&amp;$A26&amp;"'!"&amp;G$31)</f>
        <v>89.463333333333352</v>
      </c>
      <c r="H26" s="2" cm="1">
        <f t="array" aca="1" ref="H26" ca="1">INDIRECT("'"&amp;$A26&amp;"'!"&amp;H$31)</f>
        <v>93.376666666666679</v>
      </c>
      <c r="I26" s="2" cm="1">
        <f t="array" aca="1" ref="I26" ca="1">INDIRECT("'"&amp;$A26&amp;"'!"&amp;I$31)</f>
        <v>87.496666666666655</v>
      </c>
      <c r="J26" s="2" cm="1">
        <f t="array" aca="1" ref="J26" ca="1">INDIRECT("'"&amp;$A26&amp;"'!"&amp;J$31)</f>
        <v>115.69333333333331</v>
      </c>
      <c r="K26" s="2" cm="1">
        <f t="array" aca="1" ref="K26" ca="1">INDIRECT("'"&amp;$A26&amp;"'!"&amp;K$31)</f>
        <v>73.840000000000018</v>
      </c>
      <c r="L26" s="2" cm="1">
        <f t="array" aca="1" ref="L26" ca="1">INDIRECT("'"&amp;$A26&amp;"'!"&amp;L$31)</f>
        <v>73.140000000000015</v>
      </c>
      <c r="M26" s="2" cm="1">
        <f t="array" aca="1" ref="M26" ca="1">INDIRECT("'"&amp;$A26&amp;"'!"&amp;M$31)</f>
        <v>56.973333333333329</v>
      </c>
    </row>
    <row r="27" spans="1:13" x14ac:dyDescent="0.25">
      <c r="A27" t="s">
        <v>29</v>
      </c>
      <c r="B27" s="2" cm="1">
        <f t="array" aca="1" ref="B27" ca="1">INDIRECT("'"&amp;$A27&amp;"'!"&amp;B$31)</f>
        <v>79.243333333333325</v>
      </c>
      <c r="C27" s="2" cm="1">
        <f t="array" aca="1" ref="C27" ca="1">INDIRECT("'"&amp;$A27&amp;"'!"&amp;C$31)</f>
        <v>66.66</v>
      </c>
      <c r="D27" s="2" cm="1">
        <f t="array" aca="1" ref="D27" ca="1">INDIRECT("'"&amp;$A27&amp;"'!"&amp;D$31)</f>
        <v>61.943333333333342</v>
      </c>
      <c r="E27" s="2" cm="1">
        <f t="array" aca="1" ref="E27" ca="1">INDIRECT("'"&amp;$A27&amp;"'!"&amp;E$31)</f>
        <v>60.419999999999987</v>
      </c>
      <c r="F27" s="2" cm="1">
        <f t="array" aca="1" ref="F27" ca="1">INDIRECT("'"&amp;$A27&amp;"'!"&amp;F$31)</f>
        <v>71.220000000000013</v>
      </c>
      <c r="G27" s="2" cm="1">
        <f t="array" aca="1" ref="G27" ca="1">INDIRECT("'"&amp;$A27&amp;"'!"&amp;G$31)</f>
        <v>44.506666666666668</v>
      </c>
      <c r="H27" s="2" cm="1">
        <f t="array" aca="1" ref="H27" ca="1">INDIRECT("'"&amp;$A27&amp;"'!"&amp;H$31)</f>
        <v>35.22</v>
      </c>
      <c r="I27" s="2" cm="1">
        <f t="array" aca="1" ref="I27" ca="1">INDIRECT("'"&amp;$A27&amp;"'!"&amp;I$31)</f>
        <v>45.493333333333332</v>
      </c>
      <c r="J27" s="2" cm="1">
        <f t="array" aca="1" ref="J27" ca="1">INDIRECT("'"&amp;$A27&amp;"'!"&amp;J$31)</f>
        <v>126.82666666666667</v>
      </c>
      <c r="K27" s="2" cm="1">
        <f t="array" aca="1" ref="K27" ca="1">INDIRECT("'"&amp;$A27&amp;"'!"&amp;K$31)</f>
        <v>92.256666666666675</v>
      </c>
      <c r="L27" s="2" cm="1">
        <f t="array" aca="1" ref="L27" ca="1">INDIRECT("'"&amp;$A27&amp;"'!"&amp;L$31)</f>
        <v>125.25333333333334</v>
      </c>
      <c r="M27" s="2" cm="1">
        <f t="array" aca="1" ref="M27" ca="1">INDIRECT("'"&amp;$A27&amp;"'!"&amp;M$31)</f>
        <v>108.40666666666668</v>
      </c>
    </row>
    <row r="28" spans="1:13" x14ac:dyDescent="0.25">
      <c r="A28" t="s">
        <v>56</v>
      </c>
      <c r="B28" s="2" cm="1">
        <f t="array" aca="1" ref="B28" ca="1">INDIRECT("'"&amp;$A28&amp;"'!"&amp;B$31)</f>
        <v>54.439999999999991</v>
      </c>
      <c r="C28" s="2" cm="1">
        <f t="array" aca="1" ref="C28" ca="1">INDIRECT("'"&amp;$A28&amp;"'!"&amp;C$31)</f>
        <v>48.783333333333331</v>
      </c>
      <c r="D28" s="2" cm="1">
        <f t="array" aca="1" ref="D28" ca="1">INDIRECT("'"&amp;$A28&amp;"'!"&amp;D$31)</f>
        <v>48.86666666666666</v>
      </c>
      <c r="E28" s="2" cm="1">
        <f t="array" aca="1" ref="E28" ca="1">INDIRECT("'"&amp;$A28&amp;"'!"&amp;E$31)</f>
        <v>62.560000000000009</v>
      </c>
      <c r="F28" s="2" cm="1">
        <f t="array" aca="1" ref="F28" ca="1">INDIRECT("'"&amp;$A28&amp;"'!"&amp;F$31)</f>
        <v>81.883333333333312</v>
      </c>
      <c r="G28" s="2" cm="1">
        <f t="array" aca="1" ref="G28" ca="1">INDIRECT("'"&amp;$A28&amp;"'!"&amp;G$31)</f>
        <v>85.686666666666667</v>
      </c>
      <c r="H28" s="2" cm="1">
        <f t="array" aca="1" ref="H28" ca="1">INDIRECT("'"&amp;$A28&amp;"'!"&amp;H$31)</f>
        <v>87.546666666666681</v>
      </c>
      <c r="I28" s="2" cm="1">
        <f t="array" aca="1" ref="I28" ca="1">INDIRECT("'"&amp;$A28&amp;"'!"&amp;I$31)</f>
        <v>80.253333333333345</v>
      </c>
      <c r="J28" s="2" cm="1">
        <f t="array" aca="1" ref="J28" ca="1">INDIRECT("'"&amp;$A28&amp;"'!"&amp;J$31)</f>
        <v>111.8833333333333</v>
      </c>
      <c r="K28" s="2" cm="1">
        <f t="array" aca="1" ref="K28" ca="1">INDIRECT("'"&amp;$A28&amp;"'!"&amp;K$31)</f>
        <v>81.783333333333331</v>
      </c>
      <c r="L28" s="2" cm="1">
        <f t="array" aca="1" ref="L28" ca="1">INDIRECT("'"&amp;$A28&amp;"'!"&amp;L$31)</f>
        <v>84.946666666666673</v>
      </c>
      <c r="M28" s="2" cm="1">
        <f t="array" aca="1" ref="M28" ca="1">INDIRECT("'"&amp;$A28&amp;"'!"&amp;M$31)</f>
        <v>65.316666666666663</v>
      </c>
    </row>
    <row r="29" spans="1:13" x14ac:dyDescent="0.25">
      <c r="A29" t="s">
        <v>57</v>
      </c>
      <c r="B29" s="2" cm="1">
        <f t="array" aca="1" ref="B29" ca="1">INDIRECT("'"&amp;$A29&amp;"'!"&amp;B$31)</f>
        <v>53.216666666666669</v>
      </c>
      <c r="C29" s="2" cm="1">
        <f t="array" aca="1" ref="C29" ca="1">INDIRECT("'"&amp;$A29&amp;"'!"&amp;C$31)</f>
        <v>46.37</v>
      </c>
      <c r="D29" s="2" cm="1">
        <f t="array" aca="1" ref="D29" ca="1">INDIRECT("'"&amp;$A29&amp;"'!"&amp;D$31)</f>
        <v>47.943333333333342</v>
      </c>
      <c r="E29" s="2" cm="1">
        <f t="array" aca="1" ref="E29" ca="1">INDIRECT("'"&amp;$A29&amp;"'!"&amp;E$31)</f>
        <v>61.856666666666655</v>
      </c>
      <c r="F29" s="2" cm="1">
        <f t="array" aca="1" ref="F29" ca="1">INDIRECT("'"&amp;$A29&amp;"'!"&amp;F$31)</f>
        <v>82.74666666666667</v>
      </c>
      <c r="G29" s="2" cm="1">
        <f t="array" aca="1" ref="G29" ca="1">INDIRECT("'"&amp;$A29&amp;"'!"&amp;G$31)</f>
        <v>85.716666666666683</v>
      </c>
      <c r="H29" s="2" cm="1">
        <f t="array" aca="1" ref="H29" ca="1">INDIRECT("'"&amp;$A29&amp;"'!"&amp;H$31)</f>
        <v>85.34666666666665</v>
      </c>
      <c r="I29" s="2" cm="1">
        <f t="array" aca="1" ref="I29" ca="1">INDIRECT("'"&amp;$A29&amp;"'!"&amp;I$31)</f>
        <v>83.556666666666658</v>
      </c>
      <c r="J29" s="2" cm="1">
        <f t="array" aca="1" ref="J29" ca="1">INDIRECT("'"&amp;$A29&amp;"'!"&amp;J$31)</f>
        <v>113.27999999999997</v>
      </c>
      <c r="K29" s="2" cm="1">
        <f t="array" aca="1" ref="K29" ca="1">INDIRECT("'"&amp;$A29&amp;"'!"&amp;K$31)</f>
        <v>79.789999999999992</v>
      </c>
      <c r="L29" s="2" cm="1">
        <f t="array" aca="1" ref="L29" ca="1">INDIRECT("'"&amp;$A29&amp;"'!"&amp;L$31)</f>
        <v>85.370000000000019</v>
      </c>
      <c r="M29" s="2" cm="1">
        <f t="array" aca="1" ref="M29" ca="1">INDIRECT("'"&amp;$A29&amp;"'!"&amp;M$31)</f>
        <v>64.343333333333334</v>
      </c>
    </row>
    <row r="30" spans="1:13" x14ac:dyDescent="0.25">
      <c r="A30" t="s">
        <v>51</v>
      </c>
      <c r="B30" s="2" cm="1">
        <f t="array" aca="1" ref="B30" ca="1">INDIRECT("'"&amp;$A30&amp;"'!"&amp;B$31)</f>
        <v>173.58666666666667</v>
      </c>
      <c r="C30" s="2" cm="1">
        <f t="array" aca="1" ref="C30" ca="1">INDIRECT("'"&amp;$A30&amp;"'!"&amp;C$31)</f>
        <v>172.87666666666667</v>
      </c>
      <c r="D30" s="2" cm="1">
        <f t="array" aca="1" ref="D30" ca="1">INDIRECT("'"&amp;$A30&amp;"'!"&amp;D$31)</f>
        <v>149.95666666666665</v>
      </c>
      <c r="E30" s="2" cm="1">
        <f t="array" aca="1" ref="E30" ca="1">INDIRECT("'"&amp;$A30&amp;"'!"&amp;E$31)</f>
        <v>158.56333333333336</v>
      </c>
      <c r="F30" s="2" cm="1">
        <f t="array" aca="1" ref="F30" ca="1">INDIRECT("'"&amp;$A30&amp;"'!"&amp;F$31)</f>
        <v>160.61333333333332</v>
      </c>
      <c r="G30" s="2" cm="1">
        <f t="array" aca="1" ref="G30" ca="1">INDIRECT("'"&amp;$A30&amp;"'!"&amp;G$31)</f>
        <v>109.90666666666667</v>
      </c>
      <c r="H30" s="2" cm="1">
        <f t="array" aca="1" ref="H30" ca="1">INDIRECT("'"&amp;$A30&amp;"'!"&amp;H$31)</f>
        <v>87.480333333333348</v>
      </c>
      <c r="I30" s="2" cm="1">
        <f t="array" aca="1" ref="I30" ca="1">INDIRECT("'"&amp;$A30&amp;"'!"&amp;I$31)</f>
        <v>105.3833333333333</v>
      </c>
      <c r="J30" s="2" cm="1">
        <f t="array" aca="1" ref="J30" ca="1">INDIRECT("'"&amp;$A30&amp;"'!"&amp;J$31)</f>
        <v>211.73333333333329</v>
      </c>
      <c r="K30" s="2" cm="1">
        <f t="array" aca="1" ref="K30" ca="1">INDIRECT("'"&amp;$A30&amp;"'!"&amp;K$31)</f>
        <v>184.05</v>
      </c>
      <c r="L30" s="2" cm="1">
        <f t="array" aca="1" ref="L30" ca="1">INDIRECT("'"&amp;$A30&amp;"'!"&amp;L$31)</f>
        <v>257.57666666666665</v>
      </c>
      <c r="M30" s="2" cm="1">
        <f t="array" aca="1" ref="M30" ca="1">INDIRECT("'"&amp;$A30&amp;"'!"&amp;M$31)</f>
        <v>222.66000000000003</v>
      </c>
    </row>
    <row r="31" spans="1:13" x14ac:dyDescent="0.25">
      <c r="A31" t="s">
        <v>87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t="s">
        <v>106</v>
      </c>
      <c r="J31" t="s">
        <v>107</v>
      </c>
      <c r="K31" t="s">
        <v>108</v>
      </c>
      <c r="L31" t="s">
        <v>109</v>
      </c>
      <c r="M3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E5A6-84C9-426E-899E-6EC326FB5C06}">
  <dimension ref="A1:AA40"/>
  <sheetViews>
    <sheetView topLeftCell="A9" workbookViewId="0">
      <selection activeCell="R39" sqref="R39"/>
    </sheetView>
  </sheetViews>
  <sheetFormatPr defaultRowHeight="15" x14ac:dyDescent="0.25"/>
  <sheetData>
    <row r="1" spans="1:27" s="31" customFormat="1" x14ac:dyDescent="0.25">
      <c r="A1" s="30"/>
      <c r="B1" s="30"/>
      <c r="C1" s="30"/>
      <c r="D1" s="30" t="s">
        <v>1</v>
      </c>
      <c r="O1" s="30"/>
      <c r="P1" s="30"/>
      <c r="Q1" s="30"/>
      <c r="R1" s="30" t="s">
        <v>52</v>
      </c>
    </row>
    <row r="2" spans="1:27" s="31" customFormat="1" x14ac:dyDescent="0.25">
      <c r="A2" s="30" t="s">
        <v>53</v>
      </c>
      <c r="B2" s="4">
        <f>AVERAGE(B5:B46)</f>
        <v>1.0900000000000001</v>
      </c>
      <c r="C2" s="4">
        <f t="shared" ref="C2:L2" si="0">AVERAGE(C5:C46)</f>
        <v>3.5233333333333343</v>
      </c>
      <c r="D2" s="4">
        <f t="shared" si="0"/>
        <v>7.4499999999999993</v>
      </c>
      <c r="E2" s="4">
        <f t="shared" si="0"/>
        <v>12.393333333333334</v>
      </c>
      <c r="F2" s="4">
        <f t="shared" si="0"/>
        <v>17.133333333333333</v>
      </c>
      <c r="G2" s="4">
        <f t="shared" si="0"/>
        <v>21.25333333333333</v>
      </c>
      <c r="H2" s="4">
        <f t="shared" si="0"/>
        <v>22.713333333333335</v>
      </c>
      <c r="I2" s="4">
        <f t="shared" si="0"/>
        <v>22.007333333333325</v>
      </c>
      <c r="J2" s="4">
        <f t="shared" si="0"/>
        <v>16.593333333333334</v>
      </c>
      <c r="K2" s="4">
        <f t="shared" si="0"/>
        <v>11.899999999999999</v>
      </c>
      <c r="L2" s="4">
        <f t="shared" si="0"/>
        <v>6.71</v>
      </c>
      <c r="M2" s="4">
        <f>AVERAGE(M5:M46)</f>
        <v>2.0833333333333335</v>
      </c>
      <c r="O2" s="30"/>
      <c r="P2" s="4">
        <f>AVERAGE(P5:P46)</f>
        <v>50.370000000000005</v>
      </c>
      <c r="Q2" s="4">
        <f t="shared" ref="Q2:Z2" si="1">AVERAGE(Q5:Q46)</f>
        <v>47.756666666666668</v>
      </c>
      <c r="R2" s="4">
        <f t="shared" si="1"/>
        <v>49.756666666666661</v>
      </c>
      <c r="S2" s="4">
        <f t="shared" si="1"/>
        <v>56.640000000000008</v>
      </c>
      <c r="T2" s="4">
        <f t="shared" si="1"/>
        <v>81.38000000000001</v>
      </c>
      <c r="U2" s="4">
        <f t="shared" si="1"/>
        <v>75.77000000000001</v>
      </c>
      <c r="V2" s="4">
        <f t="shared" si="1"/>
        <v>67.840000000000018</v>
      </c>
      <c r="W2" s="4">
        <f t="shared" si="1"/>
        <v>72.6666666666667</v>
      </c>
      <c r="X2" s="4">
        <f t="shared" si="1"/>
        <v>105.06333333333333</v>
      </c>
      <c r="Y2" s="4">
        <f t="shared" si="1"/>
        <v>68.283333333333331</v>
      </c>
      <c r="Z2" s="4">
        <f t="shared" si="1"/>
        <v>72.356666666666669</v>
      </c>
      <c r="AA2" s="4">
        <f>AVERAGE(AA5:AA46)</f>
        <v>62.81333333333334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0.5</v>
      </c>
      <c r="C5" s="2">
        <v>5.9</v>
      </c>
      <c r="D5" s="2">
        <v>5.6</v>
      </c>
      <c r="E5" s="2">
        <v>12</v>
      </c>
      <c r="F5" s="2">
        <v>15.4</v>
      </c>
      <c r="G5" s="2">
        <v>18.2</v>
      </c>
      <c r="H5" s="2">
        <v>23.5</v>
      </c>
      <c r="I5" s="2">
        <v>19.600000000000001</v>
      </c>
      <c r="J5" s="2">
        <v>14.8</v>
      </c>
      <c r="K5" s="2">
        <v>11.7</v>
      </c>
      <c r="L5" s="2">
        <v>4.2</v>
      </c>
      <c r="M5" s="2">
        <v>0.7</v>
      </c>
      <c r="N5" s="2"/>
      <c r="O5">
        <v>1995</v>
      </c>
      <c r="P5" s="2">
        <v>65</v>
      </c>
      <c r="Q5" s="2">
        <v>54.4</v>
      </c>
      <c r="R5" s="2">
        <v>44.6</v>
      </c>
      <c r="S5" s="2">
        <v>57.1</v>
      </c>
      <c r="T5" s="2">
        <v>110.4</v>
      </c>
      <c r="U5" s="2">
        <v>115.1</v>
      </c>
      <c r="V5" s="2">
        <v>14.6</v>
      </c>
      <c r="W5" s="2">
        <v>111.2</v>
      </c>
      <c r="X5" s="2">
        <v>171.1</v>
      </c>
      <c r="Y5" s="2">
        <v>4.0999999999999996</v>
      </c>
      <c r="Z5" s="2">
        <v>48.2</v>
      </c>
      <c r="AA5" s="2">
        <v>96</v>
      </c>
    </row>
    <row r="6" spans="1:27" x14ac:dyDescent="0.25">
      <c r="A6">
        <v>1996</v>
      </c>
      <c r="B6" s="2">
        <v>-1.9</v>
      </c>
      <c r="C6" s="2">
        <v>-1.3</v>
      </c>
      <c r="D6" s="2">
        <v>3.3</v>
      </c>
      <c r="E6" s="2">
        <v>11.1</v>
      </c>
      <c r="F6" s="2">
        <v>17</v>
      </c>
      <c r="G6" s="2">
        <v>20.399999999999999</v>
      </c>
      <c r="H6" s="2">
        <v>19.7</v>
      </c>
      <c r="I6" s="2">
        <v>20</v>
      </c>
      <c r="J6" s="2">
        <v>12.7</v>
      </c>
      <c r="K6" s="2">
        <v>11.2</v>
      </c>
      <c r="L6" s="2">
        <v>7.6</v>
      </c>
      <c r="M6" s="2">
        <v>-1.6</v>
      </c>
      <c r="N6" s="2"/>
      <c r="O6">
        <v>1996</v>
      </c>
      <c r="P6" s="2">
        <v>85</v>
      </c>
      <c r="Q6" s="2">
        <v>39.9</v>
      </c>
      <c r="R6" s="2">
        <v>16.899999999999999</v>
      </c>
      <c r="S6" s="2">
        <v>100.5</v>
      </c>
      <c r="T6" s="2">
        <v>94.8</v>
      </c>
      <c r="U6" s="2">
        <v>35.1</v>
      </c>
      <c r="V6" s="2">
        <v>59</v>
      </c>
      <c r="W6" s="2">
        <v>72.099999999999994</v>
      </c>
      <c r="X6" s="2">
        <v>179.1</v>
      </c>
      <c r="Y6" s="2">
        <v>56.6</v>
      </c>
      <c r="Z6" s="2">
        <v>103.2</v>
      </c>
      <c r="AA6" s="2">
        <v>74.5</v>
      </c>
    </row>
    <row r="7" spans="1:27" x14ac:dyDescent="0.25">
      <c r="A7">
        <v>1997</v>
      </c>
      <c r="B7" s="2">
        <v>-1.3</v>
      </c>
      <c r="C7" s="2">
        <v>4.3</v>
      </c>
      <c r="D7" s="2">
        <v>6.7</v>
      </c>
      <c r="E7" s="2">
        <v>8.1999999999999993</v>
      </c>
      <c r="F7" s="2">
        <v>17.399999999999999</v>
      </c>
      <c r="G7" s="2">
        <v>20.5</v>
      </c>
      <c r="H7" s="2">
        <v>20.100000000000001</v>
      </c>
      <c r="I7" s="2">
        <v>20.6</v>
      </c>
      <c r="J7" s="2">
        <v>16.100000000000001</v>
      </c>
      <c r="K7" s="2">
        <v>8.8000000000000007</v>
      </c>
      <c r="L7" s="2">
        <v>5.6</v>
      </c>
      <c r="M7" s="2">
        <v>2.6</v>
      </c>
      <c r="N7" s="2"/>
      <c r="O7">
        <v>1997</v>
      </c>
      <c r="P7" s="2">
        <v>42.2</v>
      </c>
      <c r="Q7" s="2">
        <v>42.3</v>
      </c>
      <c r="R7" s="2">
        <v>20.2</v>
      </c>
      <c r="S7" s="2">
        <v>45.2</v>
      </c>
      <c r="T7" s="2">
        <v>76.2</v>
      </c>
      <c r="U7" s="2">
        <v>70.5</v>
      </c>
      <c r="V7" s="2">
        <v>96.8</v>
      </c>
      <c r="W7" s="2">
        <v>48.8</v>
      </c>
      <c r="X7" s="2">
        <v>22.7</v>
      </c>
      <c r="Y7" s="2">
        <v>85.8</v>
      </c>
      <c r="Z7" s="2">
        <v>86</v>
      </c>
      <c r="AA7" s="2">
        <v>67.2</v>
      </c>
    </row>
    <row r="8" spans="1:27" x14ac:dyDescent="0.25">
      <c r="A8">
        <v>1998</v>
      </c>
      <c r="B8" s="2">
        <v>2.7</v>
      </c>
      <c r="C8" s="2">
        <v>5.2</v>
      </c>
      <c r="D8" s="2">
        <v>5.3</v>
      </c>
      <c r="E8" s="2">
        <v>12.8</v>
      </c>
      <c r="F8" s="2">
        <v>15.9</v>
      </c>
      <c r="G8" s="2">
        <v>20.9</v>
      </c>
      <c r="H8" s="2">
        <v>21.7</v>
      </c>
      <c r="I8" s="2">
        <v>21.3</v>
      </c>
      <c r="J8" s="2">
        <v>15.6</v>
      </c>
      <c r="K8" s="2">
        <v>11.9</v>
      </c>
      <c r="L8" s="2">
        <v>3.3</v>
      </c>
      <c r="M8" s="2">
        <v>-2.7</v>
      </c>
      <c r="N8" s="2"/>
      <c r="O8">
        <v>1998</v>
      </c>
      <c r="P8" s="2">
        <v>40.700000000000003</v>
      </c>
      <c r="Q8" s="2">
        <v>2.2999999999999998</v>
      </c>
      <c r="R8" s="2">
        <v>65.8</v>
      </c>
      <c r="S8" s="2">
        <v>83.2</v>
      </c>
      <c r="T8" s="2">
        <v>90.2</v>
      </c>
      <c r="U8" s="2">
        <v>79.2</v>
      </c>
      <c r="V8" s="2">
        <v>91.5</v>
      </c>
      <c r="W8" s="2">
        <v>89.5</v>
      </c>
      <c r="X8" s="2">
        <v>163</v>
      </c>
      <c r="Y8" s="2">
        <v>131.69999999999999</v>
      </c>
      <c r="Z8" s="2">
        <v>73.400000000000006</v>
      </c>
      <c r="AA8" s="2">
        <v>47.3</v>
      </c>
    </row>
    <row r="9" spans="1:27" x14ac:dyDescent="0.25">
      <c r="A9">
        <v>1999</v>
      </c>
      <c r="B9" s="2">
        <v>0.4</v>
      </c>
      <c r="C9" s="2">
        <v>1.1000000000000001</v>
      </c>
      <c r="D9" s="2">
        <v>9.1</v>
      </c>
      <c r="E9" s="2">
        <v>12.8</v>
      </c>
      <c r="F9" s="2">
        <v>17.600000000000001</v>
      </c>
      <c r="G9" s="2">
        <v>20.6</v>
      </c>
      <c r="H9" s="2">
        <v>22.2</v>
      </c>
      <c r="I9" s="2">
        <v>21.2</v>
      </c>
      <c r="J9" s="2">
        <v>18.7</v>
      </c>
      <c r="K9" s="2">
        <v>11.7</v>
      </c>
      <c r="L9" s="2">
        <v>3.7</v>
      </c>
      <c r="M9" s="2">
        <v>1.7</v>
      </c>
      <c r="N9" s="2"/>
      <c r="O9">
        <v>1999</v>
      </c>
      <c r="P9" s="2">
        <v>33.799999999999997</v>
      </c>
      <c r="Q9" s="2">
        <v>96.9</v>
      </c>
      <c r="R9" s="2">
        <v>20.100000000000001</v>
      </c>
      <c r="S9" s="2">
        <v>89.2</v>
      </c>
      <c r="T9" s="2">
        <v>114.5</v>
      </c>
      <c r="U9" s="2">
        <v>135.5</v>
      </c>
      <c r="V9" s="2">
        <v>94</v>
      </c>
      <c r="W9" s="2">
        <v>71.8</v>
      </c>
      <c r="X9" s="2">
        <v>57.6</v>
      </c>
      <c r="Y9" s="2">
        <v>32.1</v>
      </c>
      <c r="Z9" s="2">
        <v>83.2</v>
      </c>
      <c r="AA9" s="2">
        <v>79.5</v>
      </c>
    </row>
    <row r="10" spans="1:27" x14ac:dyDescent="0.25">
      <c r="A10">
        <v>2000</v>
      </c>
      <c r="B10" s="2">
        <v>-1.7</v>
      </c>
      <c r="C10" s="2">
        <v>5.0999999999999996</v>
      </c>
      <c r="D10" s="2">
        <v>8</v>
      </c>
      <c r="E10" s="2">
        <v>14.9</v>
      </c>
      <c r="F10" s="2">
        <v>18.399999999999999</v>
      </c>
      <c r="G10" s="2">
        <v>22.4</v>
      </c>
      <c r="H10" s="2">
        <v>21.5</v>
      </c>
      <c r="I10" s="2">
        <v>22.9</v>
      </c>
      <c r="J10" s="2">
        <v>16.3</v>
      </c>
      <c r="K10" s="2">
        <v>13.2</v>
      </c>
      <c r="L10" s="2">
        <v>9.8000000000000007</v>
      </c>
      <c r="M10" s="2">
        <v>3.8</v>
      </c>
      <c r="N10" s="2"/>
      <c r="O10">
        <v>2000</v>
      </c>
      <c r="P10" s="2">
        <v>5.5</v>
      </c>
      <c r="Q10" s="2">
        <v>29.7</v>
      </c>
      <c r="R10" s="2">
        <v>44.1</v>
      </c>
      <c r="S10" s="2">
        <v>53.2</v>
      </c>
      <c r="T10" s="2">
        <v>39.700000000000003</v>
      </c>
      <c r="U10" s="2">
        <v>58.8</v>
      </c>
      <c r="V10" s="2">
        <v>80.099999999999994</v>
      </c>
      <c r="W10" s="2">
        <v>2.6</v>
      </c>
      <c r="X10" s="2">
        <v>100.7</v>
      </c>
      <c r="Y10" s="2">
        <v>31.2</v>
      </c>
      <c r="Z10" s="2">
        <v>85.1</v>
      </c>
      <c r="AA10" s="2">
        <v>84.9</v>
      </c>
    </row>
    <row r="11" spans="1:27" x14ac:dyDescent="0.25">
      <c r="A11">
        <v>2001</v>
      </c>
      <c r="B11" s="2">
        <v>3.1</v>
      </c>
      <c r="C11" s="2">
        <v>4.8</v>
      </c>
      <c r="D11" s="2">
        <v>10.199999999999999</v>
      </c>
      <c r="E11" s="2">
        <v>10.9</v>
      </c>
      <c r="F11" s="2">
        <v>18.899999999999999</v>
      </c>
      <c r="G11" s="2">
        <v>18.8</v>
      </c>
      <c r="H11" s="2">
        <v>22</v>
      </c>
      <c r="I11" s="2">
        <v>23</v>
      </c>
      <c r="J11" s="2">
        <v>13.9</v>
      </c>
      <c r="K11" s="2">
        <v>13.7</v>
      </c>
      <c r="L11" s="2">
        <v>2.9</v>
      </c>
      <c r="M11" s="2">
        <v>-3</v>
      </c>
      <c r="N11" s="2"/>
      <c r="O11">
        <v>2001</v>
      </c>
      <c r="P11" s="2">
        <v>77.8</v>
      </c>
      <c r="Q11" s="2">
        <v>8.1</v>
      </c>
      <c r="R11" s="2">
        <v>104.9</v>
      </c>
      <c r="S11" s="2">
        <v>43.5</v>
      </c>
      <c r="T11" s="2">
        <v>57.3</v>
      </c>
      <c r="U11" s="2">
        <v>96.6</v>
      </c>
      <c r="V11" s="2">
        <v>52.1</v>
      </c>
      <c r="W11" s="2">
        <v>48.1</v>
      </c>
      <c r="X11" s="2">
        <v>170.2</v>
      </c>
      <c r="Y11" s="2">
        <v>16</v>
      </c>
      <c r="Z11" s="2">
        <v>78.099999999999994</v>
      </c>
      <c r="AA11" s="2">
        <v>39</v>
      </c>
    </row>
    <row r="12" spans="1:27" x14ac:dyDescent="0.25">
      <c r="A12">
        <v>2002</v>
      </c>
      <c r="B12" s="3">
        <v>0.6</v>
      </c>
      <c r="C12" s="3">
        <v>6.5</v>
      </c>
      <c r="D12" s="3">
        <v>9.5</v>
      </c>
      <c r="E12" s="3">
        <v>11.4</v>
      </c>
      <c r="F12" s="3">
        <v>19.3</v>
      </c>
      <c r="G12" s="3">
        <v>22.7</v>
      </c>
      <c r="H12" s="3">
        <v>23.3</v>
      </c>
      <c r="I12" s="3">
        <v>21.6</v>
      </c>
      <c r="J12" s="3">
        <v>15.6</v>
      </c>
      <c r="K12" s="3">
        <v>11.7</v>
      </c>
      <c r="L12" s="3">
        <v>10</v>
      </c>
      <c r="M12" s="3">
        <v>1.7</v>
      </c>
      <c r="N12" s="2"/>
      <c r="O12">
        <v>2002</v>
      </c>
      <c r="P12" s="3">
        <v>11</v>
      </c>
      <c r="Q12" s="3">
        <v>36</v>
      </c>
      <c r="R12" s="3">
        <v>46</v>
      </c>
      <c r="S12" s="3">
        <v>98</v>
      </c>
      <c r="T12" s="3">
        <v>60</v>
      </c>
      <c r="U12" s="3">
        <v>51</v>
      </c>
      <c r="V12" s="3">
        <v>78</v>
      </c>
      <c r="W12" s="3">
        <v>189</v>
      </c>
      <c r="X12" s="3">
        <v>144</v>
      </c>
      <c r="Y12" s="3">
        <v>97</v>
      </c>
      <c r="Z12" s="3">
        <v>74</v>
      </c>
      <c r="AA12" s="3">
        <v>31</v>
      </c>
    </row>
    <row r="13" spans="1:27" x14ac:dyDescent="0.25">
      <c r="A13">
        <v>2003</v>
      </c>
      <c r="B13" s="3">
        <v>-1.3</v>
      </c>
      <c r="C13" s="3">
        <v>-1.9</v>
      </c>
      <c r="D13" s="3">
        <v>7.6</v>
      </c>
      <c r="E13" s="3">
        <v>11.7</v>
      </c>
      <c r="F13" s="3">
        <v>20.7</v>
      </c>
      <c r="G13" s="3">
        <v>25.3</v>
      </c>
      <c r="H13" s="3">
        <v>23</v>
      </c>
      <c r="I13" s="3">
        <v>25.32</v>
      </c>
      <c r="J13" s="3">
        <v>15.9</v>
      </c>
      <c r="K13" s="3">
        <v>9.3000000000000007</v>
      </c>
      <c r="L13" s="3">
        <v>8.1999999999999993</v>
      </c>
      <c r="M13" s="3">
        <v>2.2000000000000002</v>
      </c>
      <c r="N13" s="2"/>
      <c r="O13">
        <v>2003</v>
      </c>
      <c r="P13" s="3">
        <v>77.400000000000006</v>
      </c>
      <c r="Q13" s="3">
        <v>29.9</v>
      </c>
      <c r="R13" s="3">
        <v>5.2</v>
      </c>
      <c r="S13" s="3">
        <v>33.1</v>
      </c>
      <c r="T13" s="3">
        <v>30.5</v>
      </c>
      <c r="U13" s="3">
        <v>58.3</v>
      </c>
      <c r="V13" s="3">
        <v>90.6</v>
      </c>
      <c r="W13" s="3">
        <v>25</v>
      </c>
      <c r="X13" s="3">
        <v>103.9</v>
      </c>
      <c r="Y13" s="3">
        <v>106.3</v>
      </c>
      <c r="Z13" s="3">
        <v>66</v>
      </c>
      <c r="AA13" s="3">
        <v>22.4</v>
      </c>
    </row>
    <row r="14" spans="1:27" x14ac:dyDescent="0.25">
      <c r="A14">
        <v>2004</v>
      </c>
      <c r="B14" s="2">
        <v>0.1</v>
      </c>
      <c r="C14" s="2">
        <v>2.7</v>
      </c>
      <c r="D14" s="2">
        <v>5.9</v>
      </c>
      <c r="E14" s="2">
        <v>12</v>
      </c>
      <c r="F14" s="2">
        <v>15.8</v>
      </c>
      <c r="G14" s="2">
        <v>19.7</v>
      </c>
      <c r="H14" s="2">
        <v>21.2</v>
      </c>
      <c r="I14" s="2">
        <v>20.9</v>
      </c>
      <c r="J14" s="2">
        <v>15.7</v>
      </c>
      <c r="K14" s="2">
        <v>13.3</v>
      </c>
      <c r="L14" s="2">
        <v>6.4</v>
      </c>
      <c r="M14" s="2">
        <v>1.8</v>
      </c>
      <c r="N14" s="2"/>
      <c r="O14">
        <v>2004</v>
      </c>
      <c r="P14" s="10">
        <v>53.5</v>
      </c>
      <c r="Q14" s="10">
        <v>45.5</v>
      </c>
      <c r="R14" s="10">
        <v>66.5</v>
      </c>
      <c r="S14" s="10">
        <v>133.6</v>
      </c>
      <c r="T14" s="10">
        <v>47.4</v>
      </c>
      <c r="U14" s="10">
        <v>104.5</v>
      </c>
      <c r="V14" s="10">
        <v>27.4</v>
      </c>
      <c r="W14" s="10">
        <v>76.099999999999994</v>
      </c>
      <c r="X14" s="10">
        <v>62.4</v>
      </c>
      <c r="Y14" s="10">
        <v>137.30000000000001</v>
      </c>
      <c r="Z14" s="10">
        <v>59.8</v>
      </c>
      <c r="AA14" s="10">
        <v>40.1</v>
      </c>
    </row>
    <row r="15" spans="1:27" x14ac:dyDescent="0.25">
      <c r="A15">
        <v>2005</v>
      </c>
      <c r="B15" s="2">
        <v>-0.5</v>
      </c>
      <c r="C15" s="2">
        <v>-1.3</v>
      </c>
      <c r="D15" s="2">
        <v>4.8</v>
      </c>
      <c r="E15" s="2">
        <v>11.6</v>
      </c>
      <c r="F15" s="2">
        <v>16.7</v>
      </c>
      <c r="G15" s="2">
        <v>19.7</v>
      </c>
      <c r="H15" s="2">
        <v>21.5</v>
      </c>
      <c r="I15" s="2">
        <v>19</v>
      </c>
      <c r="J15" s="2">
        <v>16.8</v>
      </c>
      <c r="K15" s="2">
        <v>11.7</v>
      </c>
      <c r="L15" s="2">
        <v>4.9000000000000004</v>
      </c>
      <c r="M15" s="2">
        <v>1.2</v>
      </c>
      <c r="N15" s="2"/>
      <c r="O15">
        <v>2005</v>
      </c>
      <c r="P15" s="10">
        <v>33.200000000000003</v>
      </c>
      <c r="Q15" s="10">
        <v>63.5</v>
      </c>
      <c r="R15" s="10">
        <v>63.2</v>
      </c>
      <c r="S15" s="10">
        <v>61.5</v>
      </c>
      <c r="T15" s="10">
        <v>81.400000000000006</v>
      </c>
      <c r="U15" s="10">
        <v>81.7</v>
      </c>
      <c r="V15" s="10">
        <v>122.9</v>
      </c>
      <c r="W15" s="10">
        <v>140.80000000000001</v>
      </c>
      <c r="X15" s="10">
        <v>60.7</v>
      </c>
      <c r="Y15" s="10">
        <v>5.4</v>
      </c>
      <c r="Z15" s="10">
        <v>42.1</v>
      </c>
      <c r="AA15" s="10">
        <v>100.6</v>
      </c>
    </row>
    <row r="16" spans="1:27" x14ac:dyDescent="0.25">
      <c r="A16">
        <v>2006</v>
      </c>
      <c r="B16" s="2">
        <v>-1.8</v>
      </c>
      <c r="C16" s="2">
        <v>1.5</v>
      </c>
      <c r="D16" s="2">
        <v>5.3</v>
      </c>
      <c r="E16" s="2">
        <v>12.6</v>
      </c>
      <c r="F16" s="2">
        <v>16.100000000000001</v>
      </c>
      <c r="G16" s="2">
        <v>20.3</v>
      </c>
      <c r="H16" s="2">
        <v>24.1</v>
      </c>
      <c r="I16" s="2">
        <v>19</v>
      </c>
      <c r="J16" s="2">
        <v>17.7</v>
      </c>
      <c r="K16" s="2">
        <v>13.1</v>
      </c>
      <c r="L16" s="2">
        <v>8.5</v>
      </c>
      <c r="M16" s="2">
        <v>3.9</v>
      </c>
      <c r="N16" s="2"/>
      <c r="O16">
        <v>2006</v>
      </c>
      <c r="P16" s="10">
        <v>27.4</v>
      </c>
      <c r="Q16" s="10">
        <v>20.3</v>
      </c>
      <c r="R16" s="10">
        <v>49.2</v>
      </c>
      <c r="S16" s="10">
        <v>64.5</v>
      </c>
      <c r="T16" s="10">
        <v>108.2</v>
      </c>
      <c r="U16" s="10">
        <v>45.8</v>
      </c>
      <c r="V16" s="10">
        <v>20.7</v>
      </c>
      <c r="W16" s="10">
        <v>144.4</v>
      </c>
      <c r="X16" s="10">
        <v>56.4</v>
      </c>
      <c r="Y16" s="10">
        <v>31.5</v>
      </c>
      <c r="Z16" s="10">
        <v>39.9</v>
      </c>
      <c r="AA16" s="10">
        <v>25.4</v>
      </c>
    </row>
    <row r="17" spans="1:27" x14ac:dyDescent="0.25">
      <c r="A17">
        <v>2007</v>
      </c>
      <c r="B17" s="2">
        <v>6.2</v>
      </c>
      <c r="C17" s="2">
        <v>6.8</v>
      </c>
      <c r="D17" s="2">
        <v>8.3000000000000007</v>
      </c>
      <c r="E17" s="2">
        <v>14</v>
      </c>
      <c r="F17" s="2">
        <v>18.3</v>
      </c>
      <c r="G17" s="2">
        <v>22.4</v>
      </c>
      <c r="H17" s="2">
        <v>23.2</v>
      </c>
      <c r="I17" s="2">
        <v>21.6</v>
      </c>
      <c r="J17" s="2">
        <v>14.5</v>
      </c>
      <c r="K17" s="2">
        <v>9.9</v>
      </c>
      <c r="L17" s="2">
        <v>4.5999999999999996</v>
      </c>
      <c r="M17" s="2">
        <v>0.3</v>
      </c>
      <c r="N17" s="2"/>
      <c r="O17">
        <v>2007</v>
      </c>
      <c r="P17" s="10">
        <v>36.700000000000003</v>
      </c>
      <c r="Q17" s="10">
        <v>57.1</v>
      </c>
      <c r="R17" s="10">
        <v>94.1</v>
      </c>
      <c r="S17" s="10">
        <v>5.2</v>
      </c>
      <c r="T17" s="10">
        <v>52.9</v>
      </c>
      <c r="U17" s="10">
        <v>59.5</v>
      </c>
      <c r="V17" s="10">
        <v>50</v>
      </c>
      <c r="W17" s="10">
        <v>60.1</v>
      </c>
      <c r="X17" s="10">
        <v>153.69999999999999</v>
      </c>
      <c r="Y17" s="10">
        <v>89.9</v>
      </c>
      <c r="Z17" s="10">
        <v>78.400000000000006</v>
      </c>
      <c r="AA17" s="10">
        <v>60.5</v>
      </c>
    </row>
    <row r="18" spans="1:27" x14ac:dyDescent="0.25">
      <c r="A18">
        <v>2008</v>
      </c>
      <c r="B18" s="2">
        <v>2</v>
      </c>
      <c r="C18" s="2">
        <v>5.0999999999999996</v>
      </c>
      <c r="D18" s="2">
        <v>7.5</v>
      </c>
      <c r="E18" s="2">
        <v>12.2</v>
      </c>
      <c r="F18" s="2">
        <v>17.899999999999999</v>
      </c>
      <c r="G18" s="2">
        <v>21.1</v>
      </c>
      <c r="H18" s="2">
        <v>22</v>
      </c>
      <c r="I18" s="2">
        <v>21.7</v>
      </c>
      <c r="J18" s="2">
        <v>15.1</v>
      </c>
      <c r="K18" s="2">
        <v>12.3</v>
      </c>
      <c r="L18" s="2">
        <v>7.5</v>
      </c>
      <c r="M18" s="2">
        <v>3.5</v>
      </c>
      <c r="N18" s="2"/>
      <c r="O18">
        <v>2008</v>
      </c>
      <c r="P18" s="10">
        <v>9.8000000000000007</v>
      </c>
      <c r="Q18" s="10">
        <v>8.6999999999999993</v>
      </c>
      <c r="R18" s="10">
        <v>91</v>
      </c>
      <c r="S18" s="10">
        <v>31.3</v>
      </c>
      <c r="T18" s="10">
        <v>23.6</v>
      </c>
      <c r="U18" s="10">
        <v>148.30000000000001</v>
      </c>
      <c r="V18" s="10">
        <v>58.8</v>
      </c>
      <c r="W18" s="10">
        <v>76.900000000000006</v>
      </c>
      <c r="X18" s="10">
        <v>49.9</v>
      </c>
      <c r="Y18" s="10">
        <v>81.7</v>
      </c>
      <c r="Z18" s="10">
        <v>41.2</v>
      </c>
      <c r="AA18" s="10">
        <v>100</v>
      </c>
    </row>
    <row r="19" spans="1:27" x14ac:dyDescent="0.25">
      <c r="A19">
        <v>2009</v>
      </c>
      <c r="B19" s="2">
        <v>-1.3</v>
      </c>
      <c r="C19" s="2">
        <v>2.8</v>
      </c>
      <c r="D19" s="2">
        <v>7.2</v>
      </c>
      <c r="E19" s="2">
        <v>14.9</v>
      </c>
      <c r="F19" s="2">
        <v>18.100000000000001</v>
      </c>
      <c r="G19" s="2">
        <v>19.2</v>
      </c>
      <c r="H19" s="2">
        <v>22.4</v>
      </c>
      <c r="I19" s="2">
        <v>22.6</v>
      </c>
      <c r="J19" s="2">
        <v>18.5</v>
      </c>
      <c r="K19" s="2">
        <v>11.4</v>
      </c>
      <c r="L19" s="2">
        <v>7.8</v>
      </c>
      <c r="M19" s="2">
        <v>2.8</v>
      </c>
      <c r="N19" s="2"/>
      <c r="O19">
        <v>2009</v>
      </c>
      <c r="P19" s="10">
        <v>59.3</v>
      </c>
      <c r="Q19" s="10">
        <v>33.4</v>
      </c>
      <c r="R19" s="10">
        <v>32.9</v>
      </c>
      <c r="S19" s="10">
        <v>33.1</v>
      </c>
      <c r="T19" s="10">
        <v>49.6</v>
      </c>
      <c r="U19" s="10">
        <v>102.1</v>
      </c>
      <c r="V19" s="10">
        <v>50.1</v>
      </c>
      <c r="W19" s="10">
        <v>21.2</v>
      </c>
      <c r="X19" s="10">
        <v>37.4</v>
      </c>
      <c r="Y19" s="10">
        <v>71.8</v>
      </c>
      <c r="Z19" s="10">
        <v>65</v>
      </c>
      <c r="AA19" s="10">
        <v>85</v>
      </c>
    </row>
    <row r="20" spans="1:27" x14ac:dyDescent="0.25">
      <c r="A20">
        <v>2010</v>
      </c>
      <c r="B20" s="2">
        <v>-0.9</v>
      </c>
      <c r="C20" s="2">
        <v>2</v>
      </c>
      <c r="D20" s="2">
        <v>6.8</v>
      </c>
      <c r="E20" s="2">
        <v>12.2</v>
      </c>
      <c r="F20" s="2">
        <v>16.399999999999999</v>
      </c>
      <c r="G20" s="2">
        <v>20.3</v>
      </c>
      <c r="H20" s="2">
        <v>23.3</v>
      </c>
      <c r="I20" s="2">
        <v>20.9</v>
      </c>
      <c r="J20" s="2">
        <v>14.9</v>
      </c>
      <c r="K20" s="2">
        <v>9</v>
      </c>
      <c r="L20" s="2">
        <v>8.9</v>
      </c>
      <c r="M20" s="2">
        <v>0</v>
      </c>
      <c r="N20" s="2"/>
      <c r="O20">
        <v>2010</v>
      </c>
      <c r="P20" s="10">
        <v>78.2</v>
      </c>
      <c r="Q20" s="10">
        <v>67.8</v>
      </c>
      <c r="R20" s="10">
        <v>49.7</v>
      </c>
      <c r="S20" s="10">
        <v>65.400000000000006</v>
      </c>
      <c r="T20" s="10">
        <v>136.19999999999999</v>
      </c>
      <c r="U20" s="10">
        <v>177.9</v>
      </c>
      <c r="V20" s="10">
        <v>79.3</v>
      </c>
      <c r="W20" s="10">
        <v>171.5</v>
      </c>
      <c r="X20" s="10">
        <v>203.7</v>
      </c>
      <c r="Y20" s="10">
        <v>36.700000000000003</v>
      </c>
      <c r="Z20" s="10">
        <v>93.2</v>
      </c>
      <c r="AA20" s="10">
        <v>63.2</v>
      </c>
    </row>
    <row r="21" spans="1:27" x14ac:dyDescent="0.25">
      <c r="A21">
        <v>2011</v>
      </c>
      <c r="B21" s="2">
        <v>1.6</v>
      </c>
      <c r="C21" s="2">
        <v>0.9</v>
      </c>
      <c r="D21" s="2">
        <v>6.9</v>
      </c>
      <c r="E21" s="2">
        <v>13.6</v>
      </c>
      <c r="F21" s="2">
        <v>16.899999999999999</v>
      </c>
      <c r="G21" s="2">
        <v>21.3</v>
      </c>
      <c r="H21" s="2">
        <v>22.1</v>
      </c>
      <c r="I21" s="2">
        <v>23</v>
      </c>
      <c r="J21" s="2">
        <v>19.899999999999999</v>
      </c>
      <c r="K21" s="2">
        <v>10.1</v>
      </c>
      <c r="L21" s="2">
        <v>2.6</v>
      </c>
      <c r="M21" s="2">
        <v>3.4</v>
      </c>
      <c r="N21" s="2"/>
      <c r="O21">
        <v>2011</v>
      </c>
      <c r="P21" s="10">
        <v>6.7</v>
      </c>
      <c r="Q21" s="10">
        <v>15.2</v>
      </c>
      <c r="R21" s="10">
        <v>15.3</v>
      </c>
      <c r="S21" s="10">
        <v>34.1</v>
      </c>
      <c r="T21" s="10">
        <v>29.7</v>
      </c>
      <c r="U21" s="10">
        <v>24.4</v>
      </c>
      <c r="V21" s="10">
        <v>58.9</v>
      </c>
      <c r="W21" s="10">
        <v>25.7</v>
      </c>
      <c r="X21" s="10">
        <v>46.8</v>
      </c>
      <c r="Y21" s="10">
        <v>46.4</v>
      </c>
      <c r="Z21" s="10">
        <v>0.7</v>
      </c>
      <c r="AA21" s="10">
        <v>84.1</v>
      </c>
    </row>
    <row r="22" spans="1:27" x14ac:dyDescent="0.25">
      <c r="A22">
        <v>2012</v>
      </c>
      <c r="B22" s="2">
        <v>2.2000000000000002</v>
      </c>
      <c r="C22" s="2">
        <v>-2.2999999999999998</v>
      </c>
      <c r="D22" s="2">
        <v>9.4</v>
      </c>
      <c r="E22" s="2">
        <v>12.6</v>
      </c>
      <c r="F22" s="2">
        <v>16.7</v>
      </c>
      <c r="G22" s="2">
        <v>22.4</v>
      </c>
      <c r="H22" s="2">
        <v>24.1</v>
      </c>
      <c r="I22" s="2">
        <v>24.1</v>
      </c>
      <c r="J22" s="2">
        <v>18.100000000000001</v>
      </c>
      <c r="K22" s="2">
        <v>11.6</v>
      </c>
      <c r="L22" s="2">
        <v>8.8000000000000007</v>
      </c>
      <c r="M22" s="2">
        <v>1.1000000000000001</v>
      </c>
      <c r="N22" s="2"/>
      <c r="O22">
        <v>2012</v>
      </c>
      <c r="P22" s="10">
        <v>34.5</v>
      </c>
      <c r="Q22" s="10">
        <v>39.6</v>
      </c>
      <c r="R22" s="10">
        <v>6.1</v>
      </c>
      <c r="S22" s="10">
        <v>22.1</v>
      </c>
      <c r="T22" s="10">
        <v>93.5</v>
      </c>
      <c r="U22" s="10">
        <v>74.599999999999994</v>
      </c>
      <c r="V22" s="10">
        <v>12.5</v>
      </c>
      <c r="W22" s="10">
        <v>4.8</v>
      </c>
      <c r="X22" s="10">
        <v>70.900000000000006</v>
      </c>
      <c r="Y22" s="10">
        <v>69.2</v>
      </c>
      <c r="Z22" s="10">
        <v>78.599999999999994</v>
      </c>
      <c r="AA22" s="10">
        <v>103.7</v>
      </c>
    </row>
    <row r="23" spans="1:27" x14ac:dyDescent="0.25">
      <c r="A23">
        <v>2013</v>
      </c>
      <c r="B23" s="2">
        <v>1</v>
      </c>
      <c r="C23" s="2">
        <v>1.8</v>
      </c>
      <c r="D23" s="2">
        <v>4.5</v>
      </c>
      <c r="E23" s="2">
        <v>13.1</v>
      </c>
      <c r="F23" s="2">
        <v>16.5</v>
      </c>
      <c r="G23" s="2">
        <v>20</v>
      </c>
      <c r="H23" s="2">
        <v>23.2</v>
      </c>
      <c r="I23" s="2">
        <v>22.4</v>
      </c>
      <c r="J23" s="2">
        <v>15.4</v>
      </c>
      <c r="K23" s="2">
        <v>13.3</v>
      </c>
      <c r="L23" s="2">
        <v>6.9</v>
      </c>
      <c r="M23" s="2">
        <v>2.8</v>
      </c>
      <c r="N23" s="2"/>
      <c r="O23">
        <v>2013</v>
      </c>
      <c r="P23" s="10">
        <v>115.8</v>
      </c>
      <c r="Q23" s="10">
        <v>74.900000000000006</v>
      </c>
      <c r="R23" s="10">
        <v>143.69999999999999</v>
      </c>
      <c r="S23" s="10">
        <v>55.5</v>
      </c>
      <c r="T23" s="10">
        <v>93.5</v>
      </c>
      <c r="U23" s="10">
        <v>53</v>
      </c>
      <c r="V23" s="10">
        <v>49</v>
      </c>
      <c r="W23" s="10">
        <v>70.900000000000006</v>
      </c>
      <c r="X23" s="10">
        <v>103.1</v>
      </c>
      <c r="Y23" s="10">
        <v>25.2</v>
      </c>
      <c r="Z23" s="10">
        <v>141.69999999999999</v>
      </c>
      <c r="AA23" s="10">
        <v>2</v>
      </c>
    </row>
    <row r="24" spans="1:27" x14ac:dyDescent="0.25">
      <c r="A24">
        <v>2014</v>
      </c>
      <c r="B24" s="2">
        <v>4.5999999999999996</v>
      </c>
      <c r="C24" s="2">
        <v>5.0999999999999996</v>
      </c>
      <c r="D24" s="2">
        <v>10.199999999999999</v>
      </c>
      <c r="E24" s="2">
        <v>13</v>
      </c>
      <c r="F24" s="2">
        <v>15.4</v>
      </c>
      <c r="G24" s="2">
        <v>20.2</v>
      </c>
      <c r="H24" s="2">
        <v>21.6</v>
      </c>
      <c r="I24" s="2">
        <v>20.2</v>
      </c>
      <c r="J24" s="2">
        <v>16</v>
      </c>
      <c r="K24" s="2">
        <v>13.1</v>
      </c>
      <c r="L24" s="2">
        <v>8.4</v>
      </c>
      <c r="M24" s="2">
        <v>4</v>
      </c>
      <c r="N24" s="2"/>
      <c r="O24">
        <v>2014</v>
      </c>
      <c r="P24" s="10">
        <v>74.8</v>
      </c>
      <c r="Q24" s="10">
        <v>126.8</v>
      </c>
      <c r="R24" s="10">
        <v>25.5</v>
      </c>
      <c r="S24" s="10">
        <v>105.9</v>
      </c>
      <c r="T24" s="10">
        <v>168.1</v>
      </c>
      <c r="U24" s="10">
        <v>80</v>
      </c>
      <c r="V24" s="10">
        <v>143.9</v>
      </c>
      <c r="W24" s="10">
        <v>126.4</v>
      </c>
      <c r="X24" s="10">
        <v>204</v>
      </c>
      <c r="Y24" s="10">
        <v>137.30000000000001</v>
      </c>
      <c r="Z24" s="10">
        <v>25.7</v>
      </c>
      <c r="AA24" s="10">
        <v>66.900000000000006</v>
      </c>
    </row>
    <row r="25" spans="1:27" x14ac:dyDescent="0.25">
      <c r="A25">
        <v>2015</v>
      </c>
      <c r="B25" s="2">
        <v>3</v>
      </c>
      <c r="C25" s="2">
        <v>2.2000000000000002</v>
      </c>
      <c r="D25" s="2">
        <v>7.6</v>
      </c>
      <c r="E25" s="2">
        <v>12.1</v>
      </c>
      <c r="F25" s="2">
        <v>17.2</v>
      </c>
      <c r="G25" s="2">
        <v>20.8</v>
      </c>
      <c r="H25" s="2">
        <v>24.2</v>
      </c>
      <c r="I25" s="2">
        <v>23.4</v>
      </c>
      <c r="J25" s="2">
        <v>17.2</v>
      </c>
      <c r="K25" s="2">
        <v>10.6</v>
      </c>
      <c r="L25" s="2">
        <v>7.7</v>
      </c>
      <c r="M25" s="2">
        <v>3</v>
      </c>
      <c r="N25" s="2"/>
      <c r="O25">
        <v>2015</v>
      </c>
      <c r="P25" s="10">
        <v>67.7</v>
      </c>
      <c r="Q25" s="10">
        <v>73.5</v>
      </c>
      <c r="R25" s="10">
        <v>18.7</v>
      </c>
      <c r="S25" s="10">
        <v>21.4</v>
      </c>
      <c r="T25" s="10">
        <v>144.69999999999999</v>
      </c>
      <c r="U25" s="10">
        <v>39.4</v>
      </c>
      <c r="V25" s="10">
        <v>40.4</v>
      </c>
      <c r="W25" s="10">
        <v>51.6</v>
      </c>
      <c r="X25" s="10">
        <v>98.7</v>
      </c>
      <c r="Y25" s="10">
        <v>151.69999999999999</v>
      </c>
      <c r="Z25" s="10">
        <v>44.4</v>
      </c>
      <c r="AA25" s="10">
        <v>2.8</v>
      </c>
    </row>
    <row r="26" spans="1:27" x14ac:dyDescent="0.25">
      <c r="A26">
        <v>2016</v>
      </c>
      <c r="B26" s="4">
        <v>1.1000000000000001</v>
      </c>
      <c r="C26" s="4">
        <v>7.1</v>
      </c>
      <c r="D26" s="4">
        <v>7.6</v>
      </c>
      <c r="E26" s="4">
        <v>13</v>
      </c>
      <c r="F26" s="4">
        <v>16.2</v>
      </c>
      <c r="G26" s="4">
        <v>21.3</v>
      </c>
      <c r="H26" s="4">
        <v>23.3</v>
      </c>
      <c r="I26" s="4">
        <v>20.5</v>
      </c>
      <c r="J26" s="4">
        <v>18.3</v>
      </c>
      <c r="K26" s="4">
        <v>10.199999999999999</v>
      </c>
      <c r="L26" s="4">
        <v>6.8</v>
      </c>
      <c r="M26" s="4">
        <v>-0.5</v>
      </c>
      <c r="N26" s="2"/>
      <c r="O26">
        <v>2016</v>
      </c>
      <c r="P26" s="10">
        <v>76.400000000000006</v>
      </c>
      <c r="Q26" s="10">
        <v>100</v>
      </c>
      <c r="R26" s="10">
        <v>74.3</v>
      </c>
      <c r="S26" s="10">
        <v>43.2</v>
      </c>
      <c r="T26" s="10">
        <v>85.2</v>
      </c>
      <c r="U26" s="10">
        <v>78.400000000000006</v>
      </c>
      <c r="V26" s="10">
        <v>57.4</v>
      </c>
      <c r="W26" s="10">
        <v>114.9</v>
      </c>
      <c r="X26" s="10">
        <v>46.7</v>
      </c>
      <c r="Y26" s="10">
        <v>71.3</v>
      </c>
      <c r="Z26" s="10">
        <v>90.5</v>
      </c>
      <c r="AA26" s="10">
        <v>4.3</v>
      </c>
    </row>
    <row r="27" spans="1:27" x14ac:dyDescent="0.25">
      <c r="A27">
        <v>2017</v>
      </c>
      <c r="B27" s="4">
        <v>-4.0999999999999996</v>
      </c>
      <c r="C27" s="4">
        <v>4.9000000000000004</v>
      </c>
      <c r="D27" s="4">
        <v>10</v>
      </c>
      <c r="E27" s="4">
        <v>11.8</v>
      </c>
      <c r="F27" s="4">
        <v>17.600000000000001</v>
      </c>
      <c r="G27" s="4">
        <v>22.9</v>
      </c>
      <c r="H27" s="4">
        <v>23.9</v>
      </c>
      <c r="I27" s="4">
        <v>23.9</v>
      </c>
      <c r="J27" s="4">
        <v>15.5</v>
      </c>
      <c r="K27" s="4">
        <v>11.5</v>
      </c>
      <c r="L27" s="4">
        <v>6.8</v>
      </c>
      <c r="M27" s="4">
        <v>3.8</v>
      </c>
      <c r="N27" s="2"/>
      <c r="O27">
        <v>2017</v>
      </c>
      <c r="P27" s="10">
        <v>32.799999999999997</v>
      </c>
      <c r="Q27" s="10">
        <v>33.200000000000003</v>
      </c>
      <c r="R27" s="10">
        <v>26.2</v>
      </c>
      <c r="S27" s="10">
        <v>28.2</v>
      </c>
      <c r="T27" s="10">
        <v>76</v>
      </c>
      <c r="U27" s="10">
        <v>54.7</v>
      </c>
      <c r="V27" s="10">
        <v>38.4</v>
      </c>
      <c r="W27" s="10">
        <v>22.9</v>
      </c>
      <c r="X27" s="10">
        <v>144.69999999999999</v>
      </c>
      <c r="Y27" s="10">
        <v>74.400000000000006</v>
      </c>
      <c r="Z27" s="10">
        <v>74.3</v>
      </c>
      <c r="AA27" s="10">
        <v>115.9</v>
      </c>
    </row>
    <row r="28" spans="1:27" x14ac:dyDescent="0.25">
      <c r="A28">
        <v>2018</v>
      </c>
      <c r="B28" s="2">
        <v>5.2</v>
      </c>
      <c r="C28" s="2">
        <v>-0.2</v>
      </c>
      <c r="D28" s="2">
        <v>4.9000000000000004</v>
      </c>
      <c r="E28" s="2">
        <v>16.100000000000001</v>
      </c>
      <c r="F28" s="2">
        <v>19.8</v>
      </c>
      <c r="G28" s="2">
        <v>21</v>
      </c>
      <c r="H28" s="2">
        <v>22.5</v>
      </c>
      <c r="I28" s="2">
        <v>23.3</v>
      </c>
      <c r="J28" s="2">
        <v>17.5</v>
      </c>
      <c r="K28" s="2">
        <v>13.5</v>
      </c>
      <c r="L28" s="2">
        <v>7.5</v>
      </c>
      <c r="M28" s="2">
        <v>2</v>
      </c>
      <c r="N28" s="2"/>
      <c r="O28">
        <v>2018</v>
      </c>
      <c r="P28" s="10">
        <v>54.3</v>
      </c>
      <c r="Q28" s="10">
        <v>125.7</v>
      </c>
      <c r="R28" s="10">
        <v>111.6</v>
      </c>
      <c r="S28" s="10">
        <v>47.8</v>
      </c>
      <c r="T28" s="10">
        <v>32.5</v>
      </c>
      <c r="U28" s="10">
        <v>104.4</v>
      </c>
      <c r="V28" s="10">
        <v>95.4</v>
      </c>
      <c r="W28" s="10">
        <v>57.4</v>
      </c>
      <c r="X28" s="10">
        <v>83.6</v>
      </c>
      <c r="Y28" s="10">
        <v>25.5</v>
      </c>
      <c r="Z28" s="10">
        <v>45.6</v>
      </c>
      <c r="AA28" s="10">
        <v>19</v>
      </c>
    </row>
    <row r="29" spans="1:27" x14ac:dyDescent="0.25">
      <c r="A29">
        <v>2019</v>
      </c>
      <c r="B29" s="2">
        <v>1.1000000000000001</v>
      </c>
      <c r="C29" s="2">
        <v>5</v>
      </c>
      <c r="D29" s="2">
        <v>9.6999999999999993</v>
      </c>
      <c r="E29" s="2">
        <v>12.5</v>
      </c>
      <c r="F29" s="2">
        <v>13.6</v>
      </c>
      <c r="G29" s="2">
        <v>24</v>
      </c>
      <c r="H29" s="2">
        <v>22.7</v>
      </c>
      <c r="I29" s="2">
        <v>23.4</v>
      </c>
      <c r="J29" s="2">
        <v>17.2</v>
      </c>
      <c r="K29" s="2">
        <v>13.1</v>
      </c>
      <c r="L29" s="2">
        <v>9</v>
      </c>
      <c r="M29" s="2">
        <v>4.7</v>
      </c>
      <c r="N29" s="2"/>
      <c r="O29">
        <v>2019</v>
      </c>
      <c r="P29" s="10">
        <v>32</v>
      </c>
      <c r="Q29" s="10">
        <v>22.5</v>
      </c>
      <c r="R29" s="10">
        <v>18.100000000000001</v>
      </c>
      <c r="S29" s="10">
        <v>84.6</v>
      </c>
      <c r="T29" s="10">
        <v>170.1</v>
      </c>
      <c r="U29" s="10">
        <v>69.5</v>
      </c>
      <c r="V29" s="10">
        <v>91.3</v>
      </c>
      <c r="W29" s="10">
        <v>14.4</v>
      </c>
      <c r="X29" s="10">
        <v>115.3</v>
      </c>
      <c r="Y29" s="10">
        <v>45.3</v>
      </c>
      <c r="Z29" s="10">
        <v>154.69999999999999</v>
      </c>
      <c r="AA29" s="10">
        <v>77.5</v>
      </c>
    </row>
    <row r="30" spans="1:27" x14ac:dyDescent="0.25">
      <c r="A30">
        <v>2020</v>
      </c>
      <c r="B30" s="2">
        <v>1</v>
      </c>
      <c r="C30" s="2">
        <v>7.4</v>
      </c>
      <c r="D30" s="2">
        <v>8.1</v>
      </c>
      <c r="E30" s="2">
        <v>13.4</v>
      </c>
      <c r="F30" s="2">
        <v>15.5</v>
      </c>
      <c r="G30" s="2">
        <v>20.3</v>
      </c>
      <c r="H30" s="2">
        <v>22.2</v>
      </c>
      <c r="I30" s="2">
        <v>23</v>
      </c>
      <c r="J30" s="2">
        <v>18</v>
      </c>
      <c r="K30" s="2">
        <v>12.8</v>
      </c>
      <c r="L30" s="2">
        <v>6</v>
      </c>
      <c r="M30" s="2">
        <v>4.0999999999999996</v>
      </c>
      <c r="N30" s="2"/>
      <c r="O30">
        <v>2020</v>
      </c>
      <c r="P30" s="10">
        <v>24.9</v>
      </c>
      <c r="Q30" s="10">
        <v>31.8</v>
      </c>
      <c r="R30" s="10">
        <v>43.6</v>
      </c>
      <c r="S30" s="10">
        <v>9.3000000000000007</v>
      </c>
      <c r="T30" s="10">
        <v>71.3</v>
      </c>
      <c r="U30" s="10">
        <v>60.5</v>
      </c>
      <c r="V30" s="10">
        <v>147.30000000000001</v>
      </c>
      <c r="W30" s="10">
        <v>82.3</v>
      </c>
      <c r="X30" s="10">
        <v>77.099999999999994</v>
      </c>
      <c r="Y30" s="10">
        <v>149.1</v>
      </c>
      <c r="Z30" s="10">
        <v>14.2</v>
      </c>
      <c r="AA30" s="10">
        <v>82.7</v>
      </c>
    </row>
    <row r="31" spans="1:27" x14ac:dyDescent="0.25">
      <c r="A31">
        <v>2021</v>
      </c>
      <c r="B31" s="2">
        <v>3</v>
      </c>
      <c r="C31" s="2">
        <v>5.4</v>
      </c>
      <c r="D31" s="2">
        <v>6.8</v>
      </c>
      <c r="E31" s="2">
        <v>9.6</v>
      </c>
      <c r="F31" s="2">
        <v>14.9</v>
      </c>
      <c r="G31" s="2">
        <v>23.5</v>
      </c>
      <c r="H31" s="2">
        <v>24.3</v>
      </c>
      <c r="I31" s="2">
        <v>21.3</v>
      </c>
      <c r="J31" s="2">
        <v>17.5</v>
      </c>
      <c r="K31" s="2">
        <v>9.9</v>
      </c>
      <c r="L31" s="2">
        <v>6.3</v>
      </c>
      <c r="M31" s="2">
        <v>3.3</v>
      </c>
      <c r="N31" s="2"/>
      <c r="O31">
        <v>2021</v>
      </c>
      <c r="P31" s="10">
        <v>58.9</v>
      </c>
      <c r="Q31" s="10">
        <v>44</v>
      </c>
      <c r="R31" s="10">
        <v>46.8</v>
      </c>
      <c r="S31" s="10">
        <v>49.7</v>
      </c>
      <c r="T31" s="10">
        <v>86.8</v>
      </c>
      <c r="U31" s="10">
        <v>8.4</v>
      </c>
      <c r="V31" s="10">
        <v>57.7</v>
      </c>
      <c r="W31" s="10">
        <v>65.5</v>
      </c>
      <c r="X31" s="10">
        <v>28.4</v>
      </c>
      <c r="Y31" s="10">
        <v>91.7</v>
      </c>
      <c r="Z31" s="10">
        <v>74.400000000000006</v>
      </c>
      <c r="AA31" s="10">
        <v>81.900000000000006</v>
      </c>
    </row>
    <row r="32" spans="1:27" x14ac:dyDescent="0.25">
      <c r="A32">
        <v>2022</v>
      </c>
      <c r="B32" s="2">
        <v>1.5</v>
      </c>
      <c r="C32" s="2">
        <v>5.8</v>
      </c>
      <c r="D32" s="2">
        <v>6.5</v>
      </c>
      <c r="E32" s="2">
        <v>11</v>
      </c>
      <c r="F32" s="2">
        <v>19</v>
      </c>
      <c r="G32" s="2">
        <v>23.4</v>
      </c>
      <c r="H32" s="2">
        <v>23.8</v>
      </c>
      <c r="I32" s="2">
        <v>22.9</v>
      </c>
      <c r="J32" s="2">
        <v>16.600000000000001</v>
      </c>
      <c r="K32" s="2">
        <v>14.3</v>
      </c>
      <c r="L32" s="2">
        <v>7.6</v>
      </c>
      <c r="M32" s="2">
        <v>4.5999999999999996</v>
      </c>
      <c r="N32" s="2"/>
      <c r="O32">
        <v>2022</v>
      </c>
      <c r="P32" s="10">
        <v>18.600000000000001</v>
      </c>
      <c r="Q32" s="10">
        <v>31.4</v>
      </c>
      <c r="R32" s="10">
        <v>8.4</v>
      </c>
      <c r="S32" s="10">
        <v>85.2</v>
      </c>
      <c r="T32" s="10">
        <v>56.5</v>
      </c>
      <c r="U32" s="10">
        <v>46.1</v>
      </c>
      <c r="V32" s="10">
        <v>34.5</v>
      </c>
      <c r="W32" s="10">
        <v>48.7</v>
      </c>
      <c r="X32" s="10">
        <v>195.3</v>
      </c>
      <c r="Y32" s="10">
        <v>24.3</v>
      </c>
      <c r="Z32" s="10">
        <v>89.7</v>
      </c>
      <c r="AA32" s="10">
        <v>101.8</v>
      </c>
    </row>
    <row r="33" spans="1:27" x14ac:dyDescent="0.25">
      <c r="A33">
        <v>2023</v>
      </c>
      <c r="B33" s="2">
        <v>4.8</v>
      </c>
      <c r="C33" s="2">
        <v>3.9</v>
      </c>
      <c r="D33" s="2">
        <v>9.1</v>
      </c>
      <c r="E33" s="2">
        <v>10.5</v>
      </c>
      <c r="F33" s="2">
        <v>16.5</v>
      </c>
      <c r="G33" s="2">
        <v>21.3</v>
      </c>
      <c r="H33" s="2">
        <v>23.6</v>
      </c>
      <c r="I33" s="2">
        <v>22.3</v>
      </c>
      <c r="J33" s="2">
        <v>20</v>
      </c>
      <c r="K33" s="2">
        <v>15.7</v>
      </c>
      <c r="L33" s="2">
        <v>7.6</v>
      </c>
      <c r="M33" s="2">
        <v>4.4000000000000004</v>
      </c>
      <c r="N33" s="2"/>
      <c r="O33">
        <v>2023</v>
      </c>
      <c r="P33">
        <v>127.8</v>
      </c>
      <c r="Q33">
        <v>40</v>
      </c>
      <c r="R33">
        <v>82.5</v>
      </c>
      <c r="S33">
        <v>67.400000000000006</v>
      </c>
      <c r="T33">
        <v>116.4</v>
      </c>
      <c r="U33">
        <v>72.400000000000006</v>
      </c>
      <c r="V33">
        <v>96.9</v>
      </c>
      <c r="W33">
        <v>104.4</v>
      </c>
      <c r="X33">
        <v>67.2</v>
      </c>
      <c r="Y33">
        <v>55.4</v>
      </c>
      <c r="Z33">
        <v>156.1</v>
      </c>
      <c r="AA33">
        <v>89.6</v>
      </c>
    </row>
    <row r="34" spans="1:27" x14ac:dyDescent="0.25">
      <c r="A34">
        <v>2024</v>
      </c>
      <c r="B34">
        <v>1.8</v>
      </c>
      <c r="C34">
        <v>9.4</v>
      </c>
      <c r="D34">
        <v>11.1</v>
      </c>
      <c r="E34">
        <v>14.2</v>
      </c>
      <c r="F34">
        <v>18.3</v>
      </c>
      <c r="G34">
        <v>22.7</v>
      </c>
      <c r="H34">
        <v>25.2</v>
      </c>
      <c r="I34">
        <v>25.3</v>
      </c>
      <c r="J34">
        <v>17.8</v>
      </c>
      <c r="K34">
        <v>13.4</v>
      </c>
      <c r="L34">
        <v>5.4</v>
      </c>
      <c r="M34">
        <v>2.9</v>
      </c>
      <c r="N34" s="5"/>
      <c r="O34">
        <v>2024</v>
      </c>
      <c r="P34">
        <v>49.4</v>
      </c>
      <c r="Q34">
        <v>38.299999999999997</v>
      </c>
      <c r="R34">
        <v>57.5</v>
      </c>
      <c r="S34">
        <v>47.2</v>
      </c>
      <c r="T34">
        <v>44.2</v>
      </c>
      <c r="U34">
        <v>87.4</v>
      </c>
      <c r="V34">
        <v>45.7</v>
      </c>
      <c r="W34">
        <v>41</v>
      </c>
      <c r="X34">
        <v>133.6</v>
      </c>
      <c r="Y34">
        <v>66.599999999999994</v>
      </c>
      <c r="Z34">
        <v>63.3</v>
      </c>
      <c r="AA34">
        <v>35.6</v>
      </c>
    </row>
    <row r="35" spans="1:27" x14ac:dyDescent="0.25">
      <c r="A35">
        <v>2025</v>
      </c>
      <c r="N35" s="5"/>
      <c r="O35">
        <v>2025</v>
      </c>
    </row>
    <row r="36" spans="1:27" x14ac:dyDescent="0.25">
      <c r="A36">
        <v>2026</v>
      </c>
      <c r="N36" s="5"/>
      <c r="O36">
        <v>2026</v>
      </c>
    </row>
    <row r="37" spans="1:27" x14ac:dyDescent="0.25">
      <c r="A37">
        <v>2027</v>
      </c>
      <c r="N37" s="5"/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DE29-E441-4B9D-832B-E346FC7AD284}">
  <dimension ref="A1:AA66"/>
  <sheetViews>
    <sheetView workbookViewId="0">
      <selection activeCell="Q24" sqref="Q2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1.1866666666666668</v>
      </c>
      <c r="C2" s="4">
        <f t="shared" ref="C2:L2" si="0">AVERAGE(C5:C46)</f>
        <v>3.25</v>
      </c>
      <c r="D2" s="4">
        <f t="shared" si="0"/>
        <v>6.713333333333332</v>
      </c>
      <c r="E2" s="4">
        <f t="shared" si="0"/>
        <v>11.500000000000002</v>
      </c>
      <c r="F2" s="4">
        <f t="shared" si="0"/>
        <v>16.206666666666667</v>
      </c>
      <c r="G2" s="4">
        <f t="shared" si="0"/>
        <v>20.366666666666664</v>
      </c>
      <c r="H2" s="4">
        <f t="shared" si="0"/>
        <v>21.89</v>
      </c>
      <c r="I2" s="4">
        <f t="shared" si="0"/>
        <v>21.099999999999991</v>
      </c>
      <c r="J2" s="4">
        <f t="shared" si="0"/>
        <v>15.870000000000001</v>
      </c>
      <c r="K2" s="4">
        <f t="shared" si="0"/>
        <v>11.496666666666668</v>
      </c>
      <c r="L2" s="4">
        <f t="shared" si="0"/>
        <v>6.6833333333333336</v>
      </c>
      <c r="M2" s="4">
        <f>AVERAGE(M5:M46)</f>
        <v>2.2666666666666666</v>
      </c>
      <c r="O2" s="30"/>
      <c r="P2" s="4">
        <f>AVERAGE(P5:P46)</f>
        <v>63.736666666666665</v>
      </c>
      <c r="Q2" s="4">
        <f t="shared" ref="Q2:Z2" si="1">AVERAGE(Q5:Q46)</f>
        <v>54.146666666666661</v>
      </c>
      <c r="R2" s="4">
        <f t="shared" si="1"/>
        <v>56.246666666666677</v>
      </c>
      <c r="S2" s="4">
        <f t="shared" si="1"/>
        <v>65.863333333333316</v>
      </c>
      <c r="T2" s="4">
        <f t="shared" si="1"/>
        <v>95.993333333333339</v>
      </c>
      <c r="U2" s="4">
        <f t="shared" si="1"/>
        <v>93.313333333333347</v>
      </c>
      <c r="V2" s="4">
        <f t="shared" si="1"/>
        <v>72.896666666666675</v>
      </c>
      <c r="W2" s="4">
        <f t="shared" si="1"/>
        <v>73.973333333333329</v>
      </c>
      <c r="X2" s="4">
        <f t="shared" si="1"/>
        <v>121.90333333333335</v>
      </c>
      <c r="Y2" s="4">
        <f t="shared" si="1"/>
        <v>73.493333333333325</v>
      </c>
      <c r="Z2" s="4">
        <f t="shared" si="1"/>
        <v>80.793333333333337</v>
      </c>
      <c r="AA2" s="4">
        <f>AVERAGE(AA5:AA46)</f>
        <v>71.750000000000014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1.1000000000000001</v>
      </c>
      <c r="C5" s="2">
        <v>6.6</v>
      </c>
      <c r="D5" s="2">
        <v>5.4</v>
      </c>
      <c r="E5" s="2">
        <v>11.6</v>
      </c>
      <c r="F5" s="2">
        <v>15.2</v>
      </c>
      <c r="G5" s="2">
        <v>18.2</v>
      </c>
      <c r="H5" s="2">
        <v>23.3</v>
      </c>
      <c r="I5" s="2">
        <v>19.399999999999999</v>
      </c>
      <c r="J5" s="2">
        <v>14.8</v>
      </c>
      <c r="K5" s="2">
        <v>11.6</v>
      </c>
      <c r="L5" s="2">
        <v>4.3</v>
      </c>
      <c r="M5" s="2">
        <v>1.6</v>
      </c>
      <c r="O5">
        <v>1995</v>
      </c>
      <c r="P5" s="2">
        <v>93.4</v>
      </c>
      <c r="Q5" s="2">
        <v>75.400000000000006</v>
      </c>
      <c r="R5" s="2">
        <v>53.5</v>
      </c>
      <c r="S5" s="2">
        <v>45.8</v>
      </c>
      <c r="T5" s="2">
        <v>128.4</v>
      </c>
      <c r="U5" s="2">
        <v>155.1</v>
      </c>
      <c r="V5" s="2">
        <v>3.3</v>
      </c>
      <c r="W5" s="2">
        <v>110.7</v>
      </c>
      <c r="X5" s="2">
        <v>221.5</v>
      </c>
      <c r="Y5" s="2">
        <v>14.2</v>
      </c>
      <c r="Z5" s="2">
        <v>101.6</v>
      </c>
      <c r="AA5" s="2">
        <v>82.3</v>
      </c>
    </row>
    <row r="6" spans="1:27" x14ac:dyDescent="0.25">
      <c r="A6">
        <v>1996</v>
      </c>
      <c r="B6" s="2">
        <v>-1.3</v>
      </c>
      <c r="C6" s="2">
        <v>-1.1000000000000001</v>
      </c>
      <c r="D6" s="2">
        <v>3.2</v>
      </c>
      <c r="E6" s="2">
        <v>10.8</v>
      </c>
      <c r="F6" s="2">
        <v>17.2</v>
      </c>
      <c r="G6" s="2">
        <v>20.2</v>
      </c>
      <c r="H6" s="2">
        <v>19.399999999999999</v>
      </c>
      <c r="I6" s="2">
        <v>19.8</v>
      </c>
      <c r="J6" s="2">
        <v>12.8</v>
      </c>
      <c r="K6" s="2">
        <v>11.2</v>
      </c>
      <c r="L6" s="2">
        <v>7.8</v>
      </c>
      <c r="M6" s="2">
        <v>-1.1000000000000001</v>
      </c>
      <c r="O6">
        <v>1996</v>
      </c>
      <c r="P6" s="2">
        <v>75.099999999999994</v>
      </c>
      <c r="Q6" s="2">
        <v>36.200000000000003</v>
      </c>
      <c r="R6" s="2">
        <v>35.9</v>
      </c>
      <c r="S6" s="2">
        <v>69.3</v>
      </c>
      <c r="T6" s="2">
        <v>86.1</v>
      </c>
      <c r="U6" s="2">
        <v>38</v>
      </c>
      <c r="V6" s="2">
        <v>62.2</v>
      </c>
      <c r="W6" s="2">
        <v>69.2</v>
      </c>
      <c r="X6" s="2">
        <v>252.2</v>
      </c>
      <c r="Y6" s="2">
        <v>46.8</v>
      </c>
      <c r="Z6" s="2">
        <v>124.9</v>
      </c>
      <c r="AA6" s="2">
        <v>75.2</v>
      </c>
    </row>
    <row r="7" spans="1:27" x14ac:dyDescent="0.25">
      <c r="A7">
        <v>1997</v>
      </c>
      <c r="B7" s="2">
        <v>-1.2</v>
      </c>
      <c r="C7" s="2">
        <v>4</v>
      </c>
      <c r="D7" s="2">
        <v>5.4</v>
      </c>
      <c r="E7" s="2">
        <v>6.8</v>
      </c>
      <c r="F7" s="2">
        <v>16.2</v>
      </c>
      <c r="G7" s="2">
        <v>19.7</v>
      </c>
      <c r="H7" s="2">
        <v>19.5</v>
      </c>
      <c r="I7" s="2">
        <v>19.399999999999999</v>
      </c>
      <c r="J7" s="2">
        <v>15</v>
      </c>
      <c r="K7" s="2">
        <v>8.4</v>
      </c>
      <c r="L7" s="2">
        <v>5.9</v>
      </c>
      <c r="M7" s="2">
        <v>3</v>
      </c>
      <c r="O7">
        <v>1997</v>
      </c>
      <c r="P7" s="2">
        <v>49.9</v>
      </c>
      <c r="Q7" s="2">
        <v>53.3</v>
      </c>
      <c r="R7" s="2">
        <v>34.6</v>
      </c>
      <c r="S7" s="2">
        <v>67.900000000000006</v>
      </c>
      <c r="T7" s="2">
        <v>86.5</v>
      </c>
      <c r="U7" s="2">
        <v>110.7</v>
      </c>
      <c r="V7" s="2">
        <v>139.30000000000001</v>
      </c>
      <c r="W7" s="2">
        <v>66.599999999999994</v>
      </c>
      <c r="X7" s="2">
        <v>33</v>
      </c>
      <c r="Y7" s="2">
        <v>94.9</v>
      </c>
      <c r="Z7" s="2">
        <v>122.3</v>
      </c>
      <c r="AA7" s="2">
        <v>94.9</v>
      </c>
    </row>
    <row r="8" spans="1:27" x14ac:dyDescent="0.25">
      <c r="A8">
        <v>1998</v>
      </c>
      <c r="B8" s="2">
        <v>3.1</v>
      </c>
      <c r="C8" s="2">
        <v>4.5999999999999996</v>
      </c>
      <c r="D8" s="2">
        <v>4.3</v>
      </c>
      <c r="E8" s="2">
        <v>12.2</v>
      </c>
      <c r="F8" s="2">
        <v>15</v>
      </c>
      <c r="G8" s="2">
        <v>20.2</v>
      </c>
      <c r="H8" s="2">
        <v>21.1</v>
      </c>
      <c r="I8" s="2">
        <v>20.3</v>
      </c>
      <c r="J8" s="2">
        <v>15.3</v>
      </c>
      <c r="K8" s="2">
        <v>11.9</v>
      </c>
      <c r="L8" s="2">
        <v>3.4</v>
      </c>
      <c r="M8" s="2">
        <v>-2.9</v>
      </c>
      <c r="O8">
        <v>1998</v>
      </c>
      <c r="P8" s="2">
        <v>158.4</v>
      </c>
      <c r="Q8" s="2">
        <v>4.8</v>
      </c>
      <c r="R8" s="2">
        <v>75.900000000000006</v>
      </c>
      <c r="S8" s="2">
        <v>86.5</v>
      </c>
      <c r="T8" s="2">
        <v>97.6</v>
      </c>
      <c r="U8" s="2">
        <v>97.8</v>
      </c>
      <c r="V8" s="2">
        <v>93.8</v>
      </c>
      <c r="W8" s="2">
        <v>82.8</v>
      </c>
      <c r="X8" s="2">
        <v>153.1</v>
      </c>
      <c r="Y8" s="2">
        <v>115.4</v>
      </c>
      <c r="Z8" s="2">
        <v>89.9</v>
      </c>
      <c r="AA8" s="2">
        <v>47.5</v>
      </c>
    </row>
    <row r="9" spans="1:27" x14ac:dyDescent="0.25">
      <c r="A9">
        <v>1999</v>
      </c>
      <c r="B9" s="2">
        <v>1.1000000000000001</v>
      </c>
      <c r="C9" s="2">
        <v>1.2</v>
      </c>
      <c r="D9" s="2">
        <v>8</v>
      </c>
      <c r="E9" s="2">
        <v>11.7</v>
      </c>
      <c r="F9" s="2">
        <v>16.2</v>
      </c>
      <c r="G9" s="2">
        <v>19.3</v>
      </c>
      <c r="H9" s="2">
        <v>21</v>
      </c>
      <c r="I9" s="2">
        <v>20.2</v>
      </c>
      <c r="J9" s="2">
        <v>17.899999999999999</v>
      </c>
      <c r="K9" s="2">
        <v>11</v>
      </c>
      <c r="L9" s="2">
        <v>3.7</v>
      </c>
      <c r="M9" s="2">
        <v>2.2000000000000002</v>
      </c>
      <c r="O9">
        <v>1999</v>
      </c>
      <c r="P9" s="15">
        <v>41.3</v>
      </c>
      <c r="Q9" s="15">
        <v>95.2</v>
      </c>
      <c r="R9" s="15">
        <v>36.9</v>
      </c>
      <c r="S9" s="15">
        <v>105.9</v>
      </c>
      <c r="T9" s="15">
        <v>85.7</v>
      </c>
      <c r="U9" s="15">
        <v>244.4</v>
      </c>
      <c r="V9" s="15">
        <v>106.1</v>
      </c>
      <c r="W9" s="15">
        <v>89.3</v>
      </c>
      <c r="X9" s="15">
        <v>112.1</v>
      </c>
      <c r="Y9" s="15">
        <v>38.700000000000003</v>
      </c>
      <c r="Z9" s="15">
        <v>103.8</v>
      </c>
      <c r="AA9" s="15">
        <v>102.7</v>
      </c>
    </row>
    <row r="10" spans="1:27" x14ac:dyDescent="0.25">
      <c r="A10">
        <v>2000</v>
      </c>
      <c r="B10" s="19">
        <v>-1.8</v>
      </c>
      <c r="C10" s="19">
        <v>4.3</v>
      </c>
      <c r="D10" s="19">
        <v>6.8</v>
      </c>
      <c r="E10" s="19">
        <v>13.6</v>
      </c>
      <c r="F10" s="19">
        <v>16.7</v>
      </c>
      <c r="G10" s="19">
        <v>20.7</v>
      </c>
      <c r="H10" s="19">
        <v>20.399999999999999</v>
      </c>
      <c r="I10" s="19">
        <v>21.8</v>
      </c>
      <c r="J10" s="19">
        <v>15.4</v>
      </c>
      <c r="K10" s="19">
        <v>13.2</v>
      </c>
      <c r="L10" s="19">
        <v>10</v>
      </c>
      <c r="M10" s="19">
        <v>4.7</v>
      </c>
      <c r="O10">
        <v>2000</v>
      </c>
      <c r="P10" s="15">
        <v>16.600000000000001</v>
      </c>
      <c r="Q10" s="15">
        <v>31.8</v>
      </c>
      <c r="R10" s="15">
        <v>64.8</v>
      </c>
      <c r="S10" s="15">
        <v>71.400000000000006</v>
      </c>
      <c r="T10" s="15">
        <v>46.8</v>
      </c>
      <c r="U10" s="15">
        <v>40.5</v>
      </c>
      <c r="V10" s="15">
        <v>81.2</v>
      </c>
      <c r="W10" s="15">
        <v>35.799999999999997</v>
      </c>
      <c r="X10" s="15">
        <v>66.599999999999994</v>
      </c>
      <c r="Y10" s="15">
        <v>38.700000000000003</v>
      </c>
      <c r="Z10" s="15">
        <v>90.9</v>
      </c>
      <c r="AA10" s="15">
        <v>66.3</v>
      </c>
    </row>
    <row r="11" spans="1:27" x14ac:dyDescent="0.25">
      <c r="A11">
        <v>2001</v>
      </c>
      <c r="B11" s="19">
        <v>3.6</v>
      </c>
      <c r="C11" s="19">
        <v>4</v>
      </c>
      <c r="D11" s="19">
        <v>10</v>
      </c>
      <c r="E11" s="19">
        <v>10.1</v>
      </c>
      <c r="F11" s="19">
        <v>17.399999999999999</v>
      </c>
      <c r="G11" s="19">
        <v>17.5</v>
      </c>
      <c r="H11" s="19">
        <v>21.2</v>
      </c>
      <c r="I11" s="19">
        <v>21.5</v>
      </c>
      <c r="J11" s="19">
        <v>14</v>
      </c>
      <c r="K11" s="19">
        <v>13.8</v>
      </c>
      <c r="L11" s="19">
        <v>3.2</v>
      </c>
      <c r="M11" s="19">
        <v>-3</v>
      </c>
      <c r="O11">
        <v>2001</v>
      </c>
      <c r="P11" s="16">
        <v>92.3</v>
      </c>
      <c r="Q11" s="16">
        <v>21.3</v>
      </c>
      <c r="R11" s="16">
        <v>109.3</v>
      </c>
      <c r="S11" s="16">
        <v>50.9</v>
      </c>
      <c r="T11" s="16">
        <v>29.1</v>
      </c>
      <c r="U11" s="16">
        <v>162.19999999999999</v>
      </c>
      <c r="V11" s="16">
        <v>61.7</v>
      </c>
      <c r="W11" s="16">
        <v>66.099999999999994</v>
      </c>
      <c r="X11" s="16">
        <v>229.5</v>
      </c>
      <c r="Y11" s="16">
        <v>20</v>
      </c>
      <c r="Z11" s="16">
        <v>100.6</v>
      </c>
      <c r="AA11" s="16">
        <v>57.2</v>
      </c>
    </row>
    <row r="12" spans="1:27" x14ac:dyDescent="0.25">
      <c r="A12">
        <v>2002</v>
      </c>
      <c r="B12" s="20">
        <v>0.4</v>
      </c>
      <c r="C12" s="20">
        <v>5.9</v>
      </c>
      <c r="D12" s="20">
        <v>8</v>
      </c>
      <c r="E12" s="20">
        <v>10.4</v>
      </c>
      <c r="F12" s="20">
        <v>17.7</v>
      </c>
      <c r="G12" s="20">
        <v>20.7</v>
      </c>
      <c r="H12" s="20">
        <v>21.7</v>
      </c>
      <c r="I12" s="20">
        <v>20.100000000000001</v>
      </c>
      <c r="J12" s="20">
        <v>14.7</v>
      </c>
      <c r="K12" s="20">
        <v>11.3</v>
      </c>
      <c r="L12" s="20">
        <v>10</v>
      </c>
      <c r="M12" s="20">
        <v>2</v>
      </c>
      <c r="O12">
        <v>2002</v>
      </c>
      <c r="P12" s="17">
        <v>9</v>
      </c>
      <c r="Q12" s="17">
        <v>55</v>
      </c>
      <c r="R12" s="17">
        <v>41</v>
      </c>
      <c r="S12" s="17">
        <v>120</v>
      </c>
      <c r="T12" s="18">
        <v>165</v>
      </c>
      <c r="U12" s="17">
        <v>51</v>
      </c>
      <c r="V12" s="17">
        <v>85</v>
      </c>
      <c r="W12" s="17">
        <v>98</v>
      </c>
      <c r="X12" s="17">
        <v>106</v>
      </c>
      <c r="Y12" s="17">
        <v>61</v>
      </c>
      <c r="Z12" s="17">
        <v>95</v>
      </c>
      <c r="AA12" s="17">
        <v>20</v>
      </c>
    </row>
    <row r="13" spans="1:27" x14ac:dyDescent="0.25">
      <c r="A13">
        <v>2003</v>
      </c>
      <c r="B13" s="20">
        <v>-1</v>
      </c>
      <c r="C13" s="20">
        <v>-2</v>
      </c>
      <c r="D13" s="20">
        <v>5.9</v>
      </c>
      <c r="E13" s="20">
        <v>10.4</v>
      </c>
      <c r="F13" s="20">
        <v>18.5</v>
      </c>
      <c r="G13" s="20">
        <v>23.6</v>
      </c>
      <c r="H13" s="20">
        <v>22.2</v>
      </c>
      <c r="I13" s="20">
        <v>23.7</v>
      </c>
      <c r="J13" s="20">
        <v>15</v>
      </c>
      <c r="K13" s="20">
        <v>9</v>
      </c>
      <c r="L13" s="20">
        <v>8.1999999999999993</v>
      </c>
      <c r="M13" s="20">
        <v>1.5</v>
      </c>
      <c r="O13">
        <v>2003</v>
      </c>
      <c r="P13" s="17">
        <v>88.7</v>
      </c>
      <c r="Q13" s="17">
        <v>14.6</v>
      </c>
      <c r="R13" s="17">
        <v>13.5</v>
      </c>
      <c r="S13" s="17">
        <v>26.4</v>
      </c>
      <c r="T13" s="17">
        <v>35.299999999999997</v>
      </c>
      <c r="U13" s="17">
        <v>35.799999999999997</v>
      </c>
      <c r="V13" s="17">
        <v>38.4</v>
      </c>
      <c r="W13" s="17">
        <v>45.5</v>
      </c>
      <c r="X13" s="17">
        <v>110.5</v>
      </c>
      <c r="Y13" s="17">
        <v>132.1</v>
      </c>
      <c r="Z13" s="17">
        <v>70.8</v>
      </c>
      <c r="AA13" s="17">
        <v>29</v>
      </c>
    </row>
    <row r="14" spans="1:27" x14ac:dyDescent="0.25">
      <c r="A14">
        <v>2004</v>
      </c>
      <c r="B14" s="19">
        <v>-0.7</v>
      </c>
      <c r="C14" s="19">
        <v>2.2000000000000002</v>
      </c>
      <c r="D14" s="19">
        <v>5.0999999999999996</v>
      </c>
      <c r="E14" s="19">
        <v>11.3</v>
      </c>
      <c r="F14" s="19">
        <v>14.2</v>
      </c>
      <c r="G14" s="19">
        <v>18.7</v>
      </c>
      <c r="H14" s="19">
        <v>20.399999999999999</v>
      </c>
      <c r="I14" s="19">
        <v>20.2</v>
      </c>
      <c r="J14" s="19">
        <v>14.9</v>
      </c>
      <c r="K14" s="19">
        <v>13.3</v>
      </c>
      <c r="L14" s="19">
        <v>6.1</v>
      </c>
      <c r="M14" s="19">
        <v>1.8</v>
      </c>
      <c r="O14">
        <v>2004</v>
      </c>
      <c r="P14" s="16">
        <v>71.8</v>
      </c>
      <c r="Q14" s="16">
        <v>73.7</v>
      </c>
      <c r="R14" s="16">
        <v>55.6</v>
      </c>
      <c r="S14" s="16">
        <v>162.1</v>
      </c>
      <c r="T14" s="16">
        <v>55.5</v>
      </c>
      <c r="U14" s="16">
        <v>96.9</v>
      </c>
      <c r="V14" s="16">
        <v>65.2</v>
      </c>
      <c r="W14" s="16">
        <v>62.9</v>
      </c>
      <c r="X14" s="16">
        <v>102.7</v>
      </c>
      <c r="Y14" s="16">
        <v>113.7</v>
      </c>
      <c r="Z14" s="16">
        <v>102.2</v>
      </c>
      <c r="AA14" s="16">
        <v>74.099999999999994</v>
      </c>
    </row>
    <row r="15" spans="1:27" x14ac:dyDescent="0.25">
      <c r="A15">
        <v>2005</v>
      </c>
      <c r="B15" s="19">
        <v>-0.5</v>
      </c>
      <c r="C15" s="19">
        <v>-2.4</v>
      </c>
      <c r="D15" s="19">
        <v>4.2</v>
      </c>
      <c r="E15" s="19">
        <v>10.7</v>
      </c>
      <c r="F15" s="19">
        <v>15.9</v>
      </c>
      <c r="G15" s="19">
        <v>18.899999999999999</v>
      </c>
      <c r="H15" s="19">
        <v>20.8</v>
      </c>
      <c r="I15" s="19">
        <v>18.5</v>
      </c>
      <c r="J15" s="19">
        <v>16.100000000000001</v>
      </c>
      <c r="K15" s="19">
        <v>10.6</v>
      </c>
      <c r="L15" s="19">
        <v>5.0999999999999996</v>
      </c>
      <c r="M15" s="19">
        <v>1.5</v>
      </c>
      <c r="O15">
        <v>2005</v>
      </c>
      <c r="P15" s="16">
        <v>65.599999999999994</v>
      </c>
      <c r="Q15" s="16">
        <v>91</v>
      </c>
      <c r="R15" s="16">
        <v>67.599999999999994</v>
      </c>
      <c r="S15" s="16">
        <v>74.099999999999994</v>
      </c>
      <c r="T15" s="16">
        <v>69.400000000000006</v>
      </c>
      <c r="U15" s="16">
        <v>44.7</v>
      </c>
      <c r="V15" s="16">
        <v>105.5</v>
      </c>
      <c r="W15" s="16">
        <v>166.4</v>
      </c>
      <c r="X15" s="16">
        <v>109.5</v>
      </c>
      <c r="Y15" s="16">
        <v>10.1</v>
      </c>
      <c r="Z15" s="16">
        <v>34.200000000000003</v>
      </c>
      <c r="AA15" s="16">
        <v>130.6</v>
      </c>
    </row>
    <row r="16" spans="1:27" x14ac:dyDescent="0.25">
      <c r="A16">
        <v>2006</v>
      </c>
      <c r="B16" s="19">
        <v>-1.9</v>
      </c>
      <c r="C16" s="19">
        <v>1.2</v>
      </c>
      <c r="D16" s="19">
        <v>5.0999999999999996</v>
      </c>
      <c r="E16" s="19">
        <v>11.6</v>
      </c>
      <c r="F16" s="19">
        <v>15.2</v>
      </c>
      <c r="G16" s="19">
        <v>19.100000000000001</v>
      </c>
      <c r="H16" s="19">
        <v>22.5</v>
      </c>
      <c r="I16" s="19">
        <v>18.600000000000001</v>
      </c>
      <c r="J16" s="19">
        <v>16.600000000000001</v>
      </c>
      <c r="K16" s="19">
        <v>12.4</v>
      </c>
      <c r="L16" s="19">
        <v>8.1999999999999993</v>
      </c>
      <c r="M16" s="19">
        <v>3.9</v>
      </c>
      <c r="O16">
        <v>2006</v>
      </c>
      <c r="P16" s="16">
        <v>27.6</v>
      </c>
      <c r="Q16" s="16">
        <v>25.7</v>
      </c>
      <c r="R16" s="16">
        <v>58.5</v>
      </c>
      <c r="S16" s="16">
        <v>117.1</v>
      </c>
      <c r="T16" s="16">
        <v>106.1</v>
      </c>
      <c r="U16" s="16">
        <v>94.8</v>
      </c>
      <c r="V16" s="16">
        <v>19.100000000000001</v>
      </c>
      <c r="W16" s="16">
        <v>160.19999999999999</v>
      </c>
      <c r="X16" s="16">
        <v>26.9</v>
      </c>
      <c r="Y16" s="16">
        <v>38.6</v>
      </c>
      <c r="Z16" s="16">
        <v>59.1</v>
      </c>
      <c r="AA16" s="16">
        <v>41.6</v>
      </c>
    </row>
    <row r="17" spans="1:27" x14ac:dyDescent="0.25">
      <c r="A17">
        <v>2007</v>
      </c>
      <c r="B17" s="19">
        <v>6.2</v>
      </c>
      <c r="C17" s="19">
        <v>6.6</v>
      </c>
      <c r="D17" s="19">
        <v>7.8</v>
      </c>
      <c r="E17" s="19">
        <v>12.4</v>
      </c>
      <c r="F17" s="19">
        <v>17.5</v>
      </c>
      <c r="G17" s="19">
        <v>21.5</v>
      </c>
      <c r="H17" s="19">
        <v>22.5</v>
      </c>
      <c r="I17" s="19">
        <v>21.1</v>
      </c>
      <c r="J17" s="19">
        <v>13.7</v>
      </c>
      <c r="K17" s="19">
        <v>9.3000000000000007</v>
      </c>
      <c r="L17" s="19">
        <v>4.3</v>
      </c>
      <c r="M17" s="19">
        <v>0.1</v>
      </c>
      <c r="O17">
        <v>2007</v>
      </c>
      <c r="P17" s="16">
        <v>43.5</v>
      </c>
      <c r="Q17" s="16">
        <v>66.400000000000006</v>
      </c>
      <c r="R17" s="16">
        <v>108</v>
      </c>
      <c r="S17" s="16">
        <v>7.3</v>
      </c>
      <c r="T17" s="16">
        <v>95.4</v>
      </c>
      <c r="U17" s="16">
        <v>62.4</v>
      </c>
      <c r="V17" s="16">
        <v>29.3</v>
      </c>
      <c r="W17" s="16">
        <v>100.2</v>
      </c>
      <c r="X17" s="16">
        <v>145.6</v>
      </c>
      <c r="Y17" s="16">
        <v>141.80000000000001</v>
      </c>
      <c r="Z17" s="16">
        <v>94.9</v>
      </c>
      <c r="AA17" s="16">
        <v>84.8</v>
      </c>
    </row>
    <row r="18" spans="1:27" x14ac:dyDescent="0.25">
      <c r="A18">
        <v>2008</v>
      </c>
      <c r="B18" s="19">
        <v>2.2000000000000002</v>
      </c>
      <c r="C18" s="19">
        <v>4.4000000000000004</v>
      </c>
      <c r="D18" s="19">
        <v>7</v>
      </c>
      <c r="E18" s="19">
        <v>11.7</v>
      </c>
      <c r="F18" s="19">
        <v>16.7</v>
      </c>
      <c r="G18" s="19">
        <v>20.7</v>
      </c>
      <c r="H18" s="19">
        <v>21</v>
      </c>
      <c r="I18" s="19">
        <v>20.5</v>
      </c>
      <c r="J18" s="19">
        <v>14.3</v>
      </c>
      <c r="K18" s="19">
        <v>12.4</v>
      </c>
      <c r="L18" s="19">
        <v>6.9</v>
      </c>
      <c r="M18" s="19">
        <v>3.7</v>
      </c>
      <c r="O18">
        <v>2008</v>
      </c>
      <c r="P18" s="16">
        <v>21.7</v>
      </c>
      <c r="Q18" s="16">
        <v>7.5</v>
      </c>
      <c r="R18" s="16">
        <v>91.5</v>
      </c>
      <c r="S18" s="16">
        <v>56.7</v>
      </c>
      <c r="T18" s="16">
        <v>21.1</v>
      </c>
      <c r="U18" s="16">
        <v>162.9</v>
      </c>
      <c r="V18" s="16">
        <v>101.6</v>
      </c>
      <c r="W18" s="16">
        <v>48.5</v>
      </c>
      <c r="X18" s="16">
        <v>95.3</v>
      </c>
      <c r="Y18" s="16">
        <v>57.3</v>
      </c>
      <c r="Z18" s="16">
        <v>54.8</v>
      </c>
      <c r="AA18" s="16">
        <v>78</v>
      </c>
    </row>
    <row r="19" spans="1:27" x14ac:dyDescent="0.25">
      <c r="A19">
        <v>2009</v>
      </c>
      <c r="B19" s="19">
        <v>-1.4</v>
      </c>
      <c r="C19" s="19">
        <v>2.6</v>
      </c>
      <c r="D19" s="19">
        <v>6.8</v>
      </c>
      <c r="E19" s="19">
        <v>13.7</v>
      </c>
      <c r="F19" s="19">
        <v>17.5</v>
      </c>
      <c r="G19" s="19">
        <v>19</v>
      </c>
      <c r="H19" s="19">
        <v>21.7</v>
      </c>
      <c r="I19" s="19">
        <v>21.7</v>
      </c>
      <c r="J19" s="19">
        <v>17.7</v>
      </c>
      <c r="K19" s="19">
        <v>11</v>
      </c>
      <c r="L19" s="19">
        <v>8.5</v>
      </c>
      <c r="M19" s="19">
        <v>3.8</v>
      </c>
      <c r="O19">
        <v>2009</v>
      </c>
      <c r="P19" s="16">
        <v>91.8</v>
      </c>
      <c r="Q19" s="16">
        <v>31.3</v>
      </c>
      <c r="R19" s="16">
        <v>48.8</v>
      </c>
      <c r="S19" s="16">
        <v>28.2</v>
      </c>
      <c r="T19" s="16">
        <v>56.8</v>
      </c>
      <c r="U19" s="16">
        <v>71.900000000000006</v>
      </c>
      <c r="V19" s="16">
        <v>46.8</v>
      </c>
      <c r="W19" s="16">
        <v>50.2</v>
      </c>
      <c r="X19" s="16">
        <v>4.5999999999999996</v>
      </c>
      <c r="Y19" s="16">
        <v>66.2</v>
      </c>
      <c r="Z19" s="16">
        <v>86.4</v>
      </c>
      <c r="AA19" s="16">
        <v>97.9</v>
      </c>
    </row>
    <row r="20" spans="1:27" x14ac:dyDescent="0.25">
      <c r="A20">
        <v>2010</v>
      </c>
      <c r="B20" s="19">
        <v>-0.8</v>
      </c>
      <c r="C20" s="19">
        <v>1.9</v>
      </c>
      <c r="D20" s="19">
        <v>6.6</v>
      </c>
      <c r="E20" s="19">
        <v>11.5</v>
      </c>
      <c r="F20" s="19">
        <v>15.8</v>
      </c>
      <c r="G20" s="19">
        <v>19.7</v>
      </c>
      <c r="H20" s="19">
        <v>22.3</v>
      </c>
      <c r="I20" s="19">
        <v>20.399999999999999</v>
      </c>
      <c r="J20" s="19">
        <v>14.7</v>
      </c>
      <c r="K20" s="19">
        <v>8.8000000000000007</v>
      </c>
      <c r="L20" s="19">
        <v>8.9</v>
      </c>
      <c r="M20" s="19">
        <v>0.6</v>
      </c>
      <c r="O20">
        <v>2010</v>
      </c>
      <c r="P20" s="16">
        <v>90.6</v>
      </c>
      <c r="Q20" s="16">
        <v>69.7</v>
      </c>
      <c r="R20" s="16">
        <v>57.9</v>
      </c>
      <c r="S20" s="16">
        <v>80</v>
      </c>
      <c r="T20" s="16">
        <v>197.4</v>
      </c>
      <c r="U20" s="16">
        <v>261.89999999999998</v>
      </c>
      <c r="V20" s="16">
        <v>70.7</v>
      </c>
      <c r="W20" s="16">
        <v>67.3</v>
      </c>
      <c r="X20" s="16">
        <v>212.5</v>
      </c>
      <c r="Y20" s="16">
        <v>56.3</v>
      </c>
      <c r="Z20" s="16">
        <v>80.099999999999994</v>
      </c>
      <c r="AA20" s="16">
        <v>67.7</v>
      </c>
    </row>
    <row r="21" spans="1:27" x14ac:dyDescent="0.25">
      <c r="A21">
        <v>2011</v>
      </c>
      <c r="B21" s="19">
        <v>1.7</v>
      </c>
      <c r="C21" s="19">
        <v>0.9</v>
      </c>
      <c r="D21" s="19">
        <v>6.4</v>
      </c>
      <c r="E21" s="19">
        <v>12.5</v>
      </c>
      <c r="F21" s="19">
        <v>15.6</v>
      </c>
      <c r="G21" s="19">
        <v>20.3</v>
      </c>
      <c r="H21" s="19">
        <v>21.7</v>
      </c>
      <c r="I21" s="19">
        <v>21.6</v>
      </c>
      <c r="J21" s="19">
        <v>18.7</v>
      </c>
      <c r="K21" s="19">
        <v>9.6999999999999993</v>
      </c>
      <c r="L21" s="19">
        <v>2.1</v>
      </c>
      <c r="M21" s="19">
        <v>3.6</v>
      </c>
      <c r="O21">
        <v>2011</v>
      </c>
      <c r="P21" s="16">
        <v>19</v>
      </c>
      <c r="Q21" s="16">
        <v>14.4</v>
      </c>
      <c r="R21" s="16">
        <v>34.200000000000003</v>
      </c>
      <c r="S21" s="16">
        <v>19.2</v>
      </c>
      <c r="T21" s="16">
        <v>55.1</v>
      </c>
      <c r="U21" s="16">
        <v>44.2</v>
      </c>
      <c r="V21" s="16">
        <v>121.2</v>
      </c>
      <c r="W21" s="16">
        <v>39.799999999999997</v>
      </c>
      <c r="X21" s="16">
        <v>27.1</v>
      </c>
      <c r="Y21" s="16">
        <v>64.599999999999994</v>
      </c>
      <c r="Z21" s="16">
        <v>0.3</v>
      </c>
      <c r="AA21" s="16">
        <v>93.6</v>
      </c>
    </row>
    <row r="22" spans="1:27" x14ac:dyDescent="0.25">
      <c r="A22">
        <v>2012</v>
      </c>
      <c r="B22" s="19">
        <v>2.1</v>
      </c>
      <c r="C22" s="19">
        <v>-2.7</v>
      </c>
      <c r="D22" s="19">
        <v>8.4</v>
      </c>
      <c r="E22" s="19">
        <v>12</v>
      </c>
      <c r="F22" s="19">
        <v>15.8</v>
      </c>
      <c r="G22" s="19">
        <v>21.4</v>
      </c>
      <c r="H22" s="19">
        <v>23.4</v>
      </c>
      <c r="I22" s="19">
        <v>22.6</v>
      </c>
      <c r="J22" s="19">
        <v>17.3</v>
      </c>
      <c r="K22" s="19">
        <v>11</v>
      </c>
      <c r="L22" s="19">
        <v>9.1</v>
      </c>
      <c r="M22" s="19">
        <v>0.9</v>
      </c>
      <c r="O22">
        <v>2012</v>
      </c>
      <c r="P22" s="16">
        <v>32.1</v>
      </c>
      <c r="Q22" s="16">
        <v>48.2</v>
      </c>
      <c r="R22" s="16">
        <v>7.4</v>
      </c>
      <c r="S22" s="16">
        <v>55.6</v>
      </c>
      <c r="T22" s="16">
        <v>110.6</v>
      </c>
      <c r="U22" s="16">
        <v>89.4</v>
      </c>
      <c r="V22" s="16">
        <v>59.3</v>
      </c>
      <c r="W22" s="16">
        <v>4.5</v>
      </c>
      <c r="X22" s="16">
        <v>105.9</v>
      </c>
      <c r="Y22" s="16">
        <v>91.8</v>
      </c>
      <c r="Z22" s="16">
        <v>63.9</v>
      </c>
      <c r="AA22" s="16">
        <v>120.2</v>
      </c>
    </row>
    <row r="23" spans="1:27" x14ac:dyDescent="0.25">
      <c r="A23">
        <v>2013</v>
      </c>
      <c r="B23" s="19">
        <v>1.8</v>
      </c>
      <c r="C23" s="19">
        <v>2</v>
      </c>
      <c r="D23" s="19">
        <v>4.8</v>
      </c>
      <c r="E23" s="19">
        <v>12.5</v>
      </c>
      <c r="F23" s="19">
        <v>15.8</v>
      </c>
      <c r="G23" s="19">
        <v>19.2</v>
      </c>
      <c r="H23" s="19">
        <v>22.1</v>
      </c>
      <c r="I23" s="19">
        <v>21.7</v>
      </c>
      <c r="J23" s="19">
        <v>15.2</v>
      </c>
      <c r="K23" s="19">
        <v>13</v>
      </c>
      <c r="L23" s="19">
        <v>6.7</v>
      </c>
      <c r="M23" s="19">
        <v>2.9</v>
      </c>
      <c r="O23">
        <v>2013</v>
      </c>
      <c r="P23" s="16">
        <v>82.9</v>
      </c>
      <c r="Q23" s="16">
        <v>113.4</v>
      </c>
      <c r="R23" s="16">
        <v>91</v>
      </c>
      <c r="S23" s="16">
        <v>68.5</v>
      </c>
      <c r="T23" s="16">
        <v>81.8</v>
      </c>
      <c r="U23" s="16">
        <v>55.5</v>
      </c>
      <c r="V23" s="16">
        <v>60.9</v>
      </c>
      <c r="W23" s="16">
        <v>53.9</v>
      </c>
      <c r="X23" s="16">
        <v>133.6</v>
      </c>
      <c r="Y23" s="16">
        <v>22</v>
      </c>
      <c r="Z23" s="16">
        <v>122.2</v>
      </c>
      <c r="AA23" s="2">
        <v>1</v>
      </c>
    </row>
    <row r="24" spans="1:27" x14ac:dyDescent="0.25">
      <c r="A24">
        <v>2014</v>
      </c>
      <c r="B24" s="19">
        <v>4.7</v>
      </c>
      <c r="C24" s="19">
        <v>5.4</v>
      </c>
      <c r="D24" s="19">
        <v>9.1</v>
      </c>
      <c r="E24" s="19">
        <v>12.3</v>
      </c>
      <c r="F24" s="19">
        <v>14.9</v>
      </c>
      <c r="G24" s="19">
        <v>19.600000000000001</v>
      </c>
      <c r="H24" s="19">
        <v>21</v>
      </c>
      <c r="I24" s="19">
        <v>19.7</v>
      </c>
      <c r="J24" s="19">
        <v>15.7</v>
      </c>
      <c r="K24" s="19">
        <v>12.5</v>
      </c>
      <c r="L24" s="19">
        <v>8.4</v>
      </c>
      <c r="M24" s="19">
        <v>4.0999999999999996</v>
      </c>
      <c r="O24">
        <v>2014</v>
      </c>
      <c r="P24" s="16">
        <v>42.8</v>
      </c>
      <c r="Q24" s="16">
        <v>84</v>
      </c>
      <c r="R24" s="16">
        <v>37.299999999999997</v>
      </c>
      <c r="S24" s="16">
        <v>123.1</v>
      </c>
      <c r="T24" s="16">
        <v>191.4</v>
      </c>
      <c r="U24" s="16">
        <v>54.3</v>
      </c>
      <c r="V24" s="16">
        <v>132.19999999999999</v>
      </c>
      <c r="W24" s="16">
        <v>125.8</v>
      </c>
      <c r="X24" s="16">
        <v>196.5</v>
      </c>
      <c r="Y24" s="16">
        <v>169.5</v>
      </c>
      <c r="Z24" s="16">
        <v>23.9</v>
      </c>
      <c r="AA24" s="2">
        <v>67.7</v>
      </c>
    </row>
    <row r="25" spans="1:27" x14ac:dyDescent="0.25">
      <c r="A25">
        <v>2015</v>
      </c>
      <c r="B25" s="19">
        <v>3.4</v>
      </c>
      <c r="C25" s="19">
        <v>2</v>
      </c>
      <c r="D25" s="19">
        <v>6.8</v>
      </c>
      <c r="E25" s="19">
        <v>11.2</v>
      </c>
      <c r="F25" s="19">
        <v>16.600000000000001</v>
      </c>
      <c r="G25" s="19">
        <v>20</v>
      </c>
      <c r="H25" s="19">
        <v>23.4</v>
      </c>
      <c r="I25" s="19">
        <v>22.4</v>
      </c>
      <c r="J25" s="19">
        <v>16.399999999999999</v>
      </c>
      <c r="K25" s="19">
        <v>10</v>
      </c>
      <c r="L25" s="19">
        <v>7.1</v>
      </c>
      <c r="M25" s="19">
        <v>3</v>
      </c>
      <c r="O25">
        <v>2015</v>
      </c>
      <c r="P25" s="16">
        <v>113.4</v>
      </c>
      <c r="Q25" s="16">
        <v>79.3</v>
      </c>
      <c r="R25" s="16">
        <v>53.3</v>
      </c>
      <c r="S25" s="16">
        <v>34</v>
      </c>
      <c r="T25" s="16">
        <v>173.4</v>
      </c>
      <c r="U25" s="16">
        <v>34.799999999999997</v>
      </c>
      <c r="V25" s="16">
        <v>50.6</v>
      </c>
      <c r="W25" s="16">
        <v>71.7</v>
      </c>
      <c r="X25" s="16">
        <v>95.5</v>
      </c>
      <c r="Y25" s="16">
        <v>160.9</v>
      </c>
      <c r="Z25" s="16">
        <v>48.3</v>
      </c>
      <c r="AA25" s="2">
        <v>9</v>
      </c>
    </row>
    <row r="26" spans="1:27" x14ac:dyDescent="0.25">
      <c r="A26">
        <v>2016</v>
      </c>
      <c r="B26" s="4">
        <v>1.3</v>
      </c>
      <c r="C26" s="4">
        <v>6.8</v>
      </c>
      <c r="D26" s="4">
        <v>7.1</v>
      </c>
      <c r="E26" s="4">
        <v>12.3</v>
      </c>
      <c r="F26" s="4">
        <v>15.5</v>
      </c>
      <c r="G26" s="4">
        <v>20.399999999999999</v>
      </c>
      <c r="H26" s="4">
        <v>22.3</v>
      </c>
      <c r="I26" s="4">
        <v>19.399999999999999</v>
      </c>
      <c r="J26" s="4">
        <v>17</v>
      </c>
      <c r="K26" s="4">
        <v>9.6</v>
      </c>
      <c r="L26" s="4">
        <v>6.6</v>
      </c>
      <c r="M26" s="4">
        <v>-0.8</v>
      </c>
      <c r="O26">
        <v>2016</v>
      </c>
      <c r="P26" s="10">
        <v>98</v>
      </c>
      <c r="Q26" s="10">
        <v>93.4</v>
      </c>
      <c r="R26" s="10">
        <v>103.9</v>
      </c>
      <c r="S26" s="10">
        <v>35.299999999999997</v>
      </c>
      <c r="T26" s="10">
        <v>83.7</v>
      </c>
      <c r="U26" s="10">
        <v>99.6</v>
      </c>
      <c r="V26" s="10">
        <v>152.6</v>
      </c>
      <c r="W26" s="10">
        <v>66.2</v>
      </c>
      <c r="X26" s="10">
        <v>48.5</v>
      </c>
      <c r="Y26" s="10">
        <v>69.3</v>
      </c>
      <c r="Z26" s="10">
        <v>95.9</v>
      </c>
      <c r="AA26" s="10">
        <v>5.9</v>
      </c>
    </row>
    <row r="27" spans="1:27" x14ac:dyDescent="0.25">
      <c r="A27">
        <v>2017</v>
      </c>
      <c r="B27" s="19">
        <v>-4.7</v>
      </c>
      <c r="C27" s="19">
        <v>4.7</v>
      </c>
      <c r="D27" s="19">
        <v>8.6999999999999993</v>
      </c>
      <c r="E27" s="19">
        <v>10.9</v>
      </c>
      <c r="F27" s="19">
        <v>16.5</v>
      </c>
      <c r="G27" s="19">
        <v>21.8</v>
      </c>
      <c r="H27" s="19">
        <v>22.9</v>
      </c>
      <c r="I27" s="19">
        <v>22.4</v>
      </c>
      <c r="J27" s="19">
        <v>14.7</v>
      </c>
      <c r="K27" s="19">
        <v>11</v>
      </c>
      <c r="L27" s="19">
        <v>6.7</v>
      </c>
      <c r="M27" s="19">
        <v>3.8</v>
      </c>
      <c r="O27">
        <v>2017</v>
      </c>
      <c r="P27" s="10">
        <v>71</v>
      </c>
      <c r="Q27" s="10">
        <v>49.6</v>
      </c>
      <c r="R27" s="10">
        <v>50</v>
      </c>
      <c r="S27" s="10">
        <v>62.8</v>
      </c>
      <c r="T27" s="10">
        <v>45</v>
      </c>
      <c r="U27" s="10">
        <v>70.3</v>
      </c>
      <c r="V27" s="10">
        <v>71.900000000000006</v>
      </c>
      <c r="W27" s="10">
        <v>29</v>
      </c>
      <c r="X27" s="10">
        <v>121.7</v>
      </c>
      <c r="Y27" s="10">
        <v>118.2</v>
      </c>
      <c r="Z27" s="10">
        <v>79.599999999999994</v>
      </c>
      <c r="AA27" s="10">
        <v>112.3</v>
      </c>
    </row>
    <row r="28" spans="1:27" x14ac:dyDescent="0.25">
      <c r="A28">
        <v>2018</v>
      </c>
      <c r="B28" s="19">
        <v>5</v>
      </c>
      <c r="C28" s="19">
        <v>-0.3</v>
      </c>
      <c r="D28" s="19">
        <v>4.5</v>
      </c>
      <c r="E28" s="19">
        <v>15.1</v>
      </c>
      <c r="F28" s="19">
        <v>18.7</v>
      </c>
      <c r="G28" s="19">
        <v>20.3</v>
      </c>
      <c r="H28" s="19">
        <v>21.7</v>
      </c>
      <c r="I28" s="19">
        <v>21.9</v>
      </c>
      <c r="J28" s="19">
        <v>16.5</v>
      </c>
      <c r="K28" s="19">
        <v>12.7</v>
      </c>
      <c r="L28" s="19">
        <v>7.1</v>
      </c>
      <c r="M28" s="19">
        <v>1.9</v>
      </c>
      <c r="O28">
        <v>2018</v>
      </c>
      <c r="P28" s="16">
        <v>50.5</v>
      </c>
      <c r="Q28" s="16">
        <v>127.2</v>
      </c>
      <c r="R28" s="16">
        <v>93.4</v>
      </c>
      <c r="S28" s="16">
        <v>33.6</v>
      </c>
      <c r="T28" s="16">
        <v>59.2</v>
      </c>
      <c r="U28" s="16">
        <v>122.2</v>
      </c>
      <c r="V28" s="16">
        <v>56.5</v>
      </c>
      <c r="W28" s="16">
        <v>124</v>
      </c>
      <c r="X28" s="16">
        <v>110.3</v>
      </c>
      <c r="Y28" s="16">
        <v>13.5</v>
      </c>
      <c r="Z28" s="16">
        <v>33.4</v>
      </c>
      <c r="AA28" s="16">
        <v>36.6</v>
      </c>
    </row>
    <row r="29" spans="1:27" x14ac:dyDescent="0.25">
      <c r="A29">
        <v>2019</v>
      </c>
      <c r="B29" s="19">
        <v>0.7</v>
      </c>
      <c r="C29" s="19">
        <v>4.5</v>
      </c>
      <c r="D29" s="19">
        <v>8.6</v>
      </c>
      <c r="E29" s="19">
        <v>11.5</v>
      </c>
      <c r="F29" s="19">
        <v>13.1</v>
      </c>
      <c r="G29" s="19">
        <v>23</v>
      </c>
      <c r="H29" s="19">
        <v>21.9</v>
      </c>
      <c r="I29" s="19">
        <v>22.5</v>
      </c>
      <c r="J29" s="19">
        <v>16.600000000000001</v>
      </c>
      <c r="K29" s="19">
        <v>12.7</v>
      </c>
      <c r="L29" s="19">
        <v>9.4</v>
      </c>
      <c r="M29" s="19">
        <v>4.7</v>
      </c>
      <c r="O29">
        <v>2019</v>
      </c>
      <c r="P29" s="16">
        <v>57</v>
      </c>
      <c r="Q29" s="16">
        <v>28.6</v>
      </c>
      <c r="R29" s="16">
        <v>22.6</v>
      </c>
      <c r="S29" s="16">
        <v>93.6</v>
      </c>
      <c r="T29" s="16">
        <v>240.3</v>
      </c>
      <c r="U29" s="16">
        <v>112.3</v>
      </c>
      <c r="V29" s="16">
        <v>79.900000000000006</v>
      </c>
      <c r="W29" s="16">
        <v>36.299999999999997</v>
      </c>
      <c r="X29" s="16">
        <v>159.9</v>
      </c>
      <c r="Y29" s="16">
        <v>46.3</v>
      </c>
      <c r="Z29" s="16">
        <v>87.5</v>
      </c>
      <c r="AA29" s="16">
        <v>87.9</v>
      </c>
    </row>
    <row r="30" spans="1:27" x14ac:dyDescent="0.25">
      <c r="A30">
        <v>2020</v>
      </c>
      <c r="B30" s="19">
        <v>0.7</v>
      </c>
      <c r="C30" s="19">
        <v>6.9</v>
      </c>
      <c r="D30" s="19">
        <v>7.4</v>
      </c>
      <c r="E30" s="19">
        <v>11.8</v>
      </c>
      <c r="F30" s="19">
        <v>14.9</v>
      </c>
      <c r="G30" s="19">
        <v>19.600000000000001</v>
      </c>
      <c r="H30" s="19">
        <v>21.2</v>
      </c>
      <c r="I30" s="19">
        <v>22.3</v>
      </c>
      <c r="J30" s="19">
        <v>17</v>
      </c>
      <c r="K30" s="19">
        <v>12.5</v>
      </c>
      <c r="L30" s="19">
        <v>5.8</v>
      </c>
      <c r="M30" s="19">
        <v>4.5999999999999996</v>
      </c>
      <c r="O30">
        <v>2020</v>
      </c>
      <c r="P30" s="17">
        <v>25.5</v>
      </c>
      <c r="Q30" s="17">
        <v>61.3</v>
      </c>
      <c r="R30" s="17">
        <v>59.4</v>
      </c>
      <c r="S30" s="17">
        <v>11.9</v>
      </c>
      <c r="T30" s="17">
        <v>74.400000000000006</v>
      </c>
      <c r="U30" s="17">
        <v>102.2</v>
      </c>
      <c r="V30" s="17">
        <v>70.900000000000006</v>
      </c>
      <c r="W30" s="17">
        <v>94.8</v>
      </c>
      <c r="X30" s="17">
        <v>105.8</v>
      </c>
      <c r="Y30" s="17">
        <v>158.1</v>
      </c>
      <c r="Z30" s="17">
        <v>20.399999999999999</v>
      </c>
      <c r="AA30" s="17">
        <v>71.900000000000006</v>
      </c>
    </row>
    <row r="31" spans="1:27" x14ac:dyDescent="0.25">
      <c r="A31">
        <v>2021</v>
      </c>
      <c r="B31" s="19">
        <v>3.1</v>
      </c>
      <c r="C31" s="19">
        <v>5.3</v>
      </c>
      <c r="D31" s="19">
        <v>5.7</v>
      </c>
      <c r="E31" s="19">
        <v>9</v>
      </c>
      <c r="F31" s="19">
        <v>14.3</v>
      </c>
      <c r="G31" s="19">
        <v>22.3</v>
      </c>
      <c r="H31" s="19">
        <v>23.4</v>
      </c>
      <c r="I31" s="19">
        <v>20.6</v>
      </c>
      <c r="J31" s="19">
        <v>16</v>
      </c>
      <c r="K31" s="19">
        <v>9.1</v>
      </c>
      <c r="L31" s="19">
        <v>6.1</v>
      </c>
      <c r="M31" s="19">
        <v>3.2</v>
      </c>
      <c r="O31">
        <v>2021</v>
      </c>
      <c r="P31" s="17">
        <v>73.400000000000006</v>
      </c>
      <c r="Q31" s="17">
        <v>53.8</v>
      </c>
      <c r="R31" s="17">
        <v>50.7</v>
      </c>
      <c r="S31" s="17">
        <v>61.1</v>
      </c>
      <c r="T31" s="17">
        <v>111.8</v>
      </c>
      <c r="U31" s="17">
        <v>27.7</v>
      </c>
      <c r="V31" s="17">
        <v>71.7</v>
      </c>
      <c r="W31" s="17">
        <v>47.8</v>
      </c>
      <c r="X31" s="17">
        <v>28.9</v>
      </c>
      <c r="Y31" s="17">
        <v>78.2</v>
      </c>
      <c r="Z31" s="17">
        <v>96.5</v>
      </c>
      <c r="AA31" s="17">
        <v>97.2</v>
      </c>
    </row>
    <row r="32" spans="1:27" x14ac:dyDescent="0.25">
      <c r="A32">
        <v>2022</v>
      </c>
      <c r="B32" s="19">
        <v>1.3</v>
      </c>
      <c r="C32" s="19">
        <v>5.2</v>
      </c>
      <c r="D32" s="19">
        <v>4.7</v>
      </c>
      <c r="E32" s="19">
        <v>10.1</v>
      </c>
      <c r="F32" s="19">
        <v>17.899999999999999</v>
      </c>
      <c r="G32" s="19">
        <v>22.8</v>
      </c>
      <c r="H32" s="19">
        <v>23.1</v>
      </c>
      <c r="I32" s="19">
        <v>22.3</v>
      </c>
      <c r="J32" s="19">
        <v>16.100000000000001</v>
      </c>
      <c r="K32" s="19">
        <v>13.3</v>
      </c>
      <c r="L32" s="19">
        <v>7.5</v>
      </c>
      <c r="M32" s="19">
        <v>5.3</v>
      </c>
      <c r="O32">
        <v>2022</v>
      </c>
      <c r="P32" s="16">
        <v>20.3</v>
      </c>
      <c r="Q32" s="16">
        <v>41.1</v>
      </c>
      <c r="R32" s="16">
        <v>12.5</v>
      </c>
      <c r="S32" s="16">
        <v>89.9</v>
      </c>
      <c r="T32" s="16">
        <v>50.5</v>
      </c>
      <c r="U32" s="16">
        <v>66.900000000000006</v>
      </c>
      <c r="V32" s="16">
        <v>28.4</v>
      </c>
      <c r="W32" s="16">
        <v>54.1</v>
      </c>
      <c r="X32" s="16">
        <v>286.3</v>
      </c>
      <c r="Y32" s="16">
        <v>14.8</v>
      </c>
      <c r="Z32" s="16">
        <v>115</v>
      </c>
      <c r="AA32" s="16">
        <v>111.8</v>
      </c>
    </row>
    <row r="33" spans="1:27" x14ac:dyDescent="0.25">
      <c r="A33">
        <v>2023</v>
      </c>
      <c r="B33" s="2">
        <v>5</v>
      </c>
      <c r="C33" s="2">
        <v>3.6</v>
      </c>
      <c r="D33" s="2">
        <v>8.9</v>
      </c>
      <c r="E33" s="2">
        <v>10</v>
      </c>
      <c r="F33" s="2">
        <v>16</v>
      </c>
      <c r="G33" s="2">
        <v>20.5</v>
      </c>
      <c r="H33" s="2">
        <v>23.2</v>
      </c>
      <c r="I33" s="2">
        <v>21.9</v>
      </c>
      <c r="J33" s="2">
        <v>19</v>
      </c>
      <c r="K33" s="2">
        <v>15.5</v>
      </c>
      <c r="L33" s="2">
        <v>8.1</v>
      </c>
      <c r="M33" s="2">
        <v>4.7</v>
      </c>
      <c r="O33">
        <v>2023</v>
      </c>
      <c r="P33" s="16">
        <v>137.1</v>
      </c>
      <c r="Q33" s="16">
        <v>47.3</v>
      </c>
      <c r="R33" s="16">
        <v>64.900000000000006</v>
      </c>
      <c r="S33" s="16">
        <v>67.8</v>
      </c>
      <c r="T33" s="16">
        <v>172.3</v>
      </c>
      <c r="U33" s="16">
        <v>85</v>
      </c>
      <c r="V33" s="16">
        <v>78.400000000000006</v>
      </c>
      <c r="W33" s="16">
        <v>75.400000000000006</v>
      </c>
      <c r="X33" s="16">
        <v>72.099999999999994</v>
      </c>
      <c r="Y33" s="16">
        <v>68.7</v>
      </c>
      <c r="Z33" s="16">
        <v>145.19999999999999</v>
      </c>
      <c r="AA33" s="16">
        <v>102.8</v>
      </c>
    </row>
    <row r="34" spans="1:27" x14ac:dyDescent="0.25">
      <c r="A34">
        <v>2024</v>
      </c>
      <c r="B34" s="2">
        <v>2.4</v>
      </c>
      <c r="C34" s="2">
        <v>9.1999999999999993</v>
      </c>
      <c r="D34" s="2">
        <v>10.7</v>
      </c>
      <c r="E34" s="2">
        <v>13.3</v>
      </c>
      <c r="F34" s="2">
        <v>17.7</v>
      </c>
      <c r="G34" s="2">
        <v>22.1</v>
      </c>
      <c r="H34" s="2">
        <v>24.4</v>
      </c>
      <c r="I34" s="2">
        <v>24.5</v>
      </c>
      <c r="J34" s="2">
        <v>17</v>
      </c>
      <c r="K34" s="2">
        <v>13.1</v>
      </c>
      <c r="L34" s="2">
        <v>5.3</v>
      </c>
      <c r="M34" s="2">
        <v>2.7</v>
      </c>
      <c r="O34">
        <v>2024</v>
      </c>
      <c r="P34" s="16">
        <v>51.8</v>
      </c>
      <c r="Q34" s="16">
        <v>29.9</v>
      </c>
      <c r="R34" s="16">
        <v>53.5</v>
      </c>
      <c r="S34" s="16">
        <v>49.9</v>
      </c>
      <c r="T34" s="16">
        <v>68.099999999999994</v>
      </c>
      <c r="U34" s="16">
        <v>104</v>
      </c>
      <c r="V34" s="16">
        <v>43.2</v>
      </c>
      <c r="W34" s="16">
        <v>76.2</v>
      </c>
      <c r="X34" s="16">
        <v>183.4</v>
      </c>
      <c r="Y34" s="16">
        <v>83.1</v>
      </c>
      <c r="Z34" s="16">
        <v>80.2</v>
      </c>
      <c r="AA34" s="16">
        <v>84.8</v>
      </c>
    </row>
    <row r="35" spans="1:27" x14ac:dyDescent="0.25">
      <c r="A35">
        <v>2025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O35">
        <v>2025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x14ac:dyDescent="0.25">
      <c r="A36">
        <v>2026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O36">
        <v>2026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x14ac:dyDescent="0.25">
      <c r="A37">
        <v>2027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O37">
        <v>2027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x14ac:dyDescent="0.25">
      <c r="A38">
        <v>2028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O38">
        <v>2028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x14ac:dyDescent="0.25">
      <c r="A39">
        <v>2029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O39">
        <v>2029</v>
      </c>
    </row>
    <row r="40" spans="1:27" x14ac:dyDescent="0.25">
      <c r="A40">
        <v>2030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O40">
        <v>2030</v>
      </c>
    </row>
    <row r="66" spans="2:13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33B9-D97B-414A-AEB7-6974FCD591CD}">
  <dimension ref="A1:AA40"/>
  <sheetViews>
    <sheetView workbookViewId="0">
      <selection activeCell="N10" sqref="N10"/>
    </sheetView>
  </sheetViews>
  <sheetFormatPr defaultColWidth="9.140625" defaultRowHeight="15" x14ac:dyDescent="0.25"/>
  <cols>
    <col min="1" max="1" width="9.140625" style="24"/>
    <col min="2" max="14" width="9.140625" style="2"/>
    <col min="15" max="15" width="9.140625" style="24"/>
    <col min="16" max="16384" width="9.140625" style="2"/>
  </cols>
  <sheetData>
    <row r="1" spans="1:27" x14ac:dyDescent="0.25">
      <c r="A1" s="32"/>
      <c r="B1" s="33"/>
      <c r="C1" s="33"/>
      <c r="D1" s="33" t="s">
        <v>1</v>
      </c>
      <c r="O1" s="32"/>
      <c r="P1" s="33"/>
      <c r="Q1" s="33"/>
      <c r="R1" s="33" t="s">
        <v>52</v>
      </c>
    </row>
    <row r="2" spans="1:27" s="35" customFormat="1" x14ac:dyDescent="0.25">
      <c r="A2" s="34" t="s">
        <v>53</v>
      </c>
      <c r="B2" s="4">
        <f>AVERAGE(B5:B46)</f>
        <v>9.5466666666666651</v>
      </c>
      <c r="C2" s="4">
        <f t="shared" ref="C2:L2" si="0">AVERAGE(C5:C46)</f>
        <v>10.110000000000001</v>
      </c>
      <c r="D2" s="4">
        <f t="shared" si="0"/>
        <v>11.903333333333334</v>
      </c>
      <c r="E2" s="4">
        <f t="shared" si="0"/>
        <v>14.95333333333333</v>
      </c>
      <c r="F2" s="4">
        <f t="shared" si="0"/>
        <v>19.386666666666667</v>
      </c>
      <c r="G2" s="4">
        <f t="shared" si="0"/>
        <v>23.723333333333336</v>
      </c>
      <c r="H2" s="4">
        <f t="shared" si="0"/>
        <v>26.159999999999993</v>
      </c>
      <c r="I2" s="4">
        <f t="shared" si="0"/>
        <v>26.20333333333333</v>
      </c>
      <c r="J2" s="4">
        <f t="shared" si="0"/>
        <v>22.18</v>
      </c>
      <c r="K2" s="4">
        <f t="shared" si="0"/>
        <v>18.313333333333333</v>
      </c>
      <c r="L2" s="4">
        <f t="shared" si="0"/>
        <v>14.516666666666662</v>
      </c>
      <c r="M2" s="4">
        <f>AVERAGE(M5:M46)</f>
        <v>11</v>
      </c>
      <c r="O2" s="34"/>
      <c r="P2" s="4">
        <f>AVERAGE(P5:P46)</f>
        <v>121.75666666666666</v>
      </c>
      <c r="Q2" s="4">
        <f t="shared" ref="Q2:Z2" si="1">AVERAGE(Q5:Q46)</f>
        <v>107.39999999999999</v>
      </c>
      <c r="R2" s="4">
        <f t="shared" si="1"/>
        <v>103.99666666666668</v>
      </c>
      <c r="S2" s="4">
        <f>AVERAGE(S5:S46)</f>
        <v>82.800000000000011</v>
      </c>
      <c r="T2" s="4">
        <f t="shared" si="1"/>
        <v>65.55</v>
      </c>
      <c r="U2" s="4">
        <f t="shared" si="1"/>
        <v>51.376666666666672</v>
      </c>
      <c r="V2" s="4">
        <f t="shared" si="1"/>
        <v>27.913333333333334</v>
      </c>
      <c r="W2" s="4">
        <f t="shared" si="1"/>
        <v>58.79999999999999</v>
      </c>
      <c r="X2" s="4">
        <f t="shared" si="1"/>
        <v>102.94666666666667</v>
      </c>
      <c r="Y2" s="4">
        <f t="shared" si="1"/>
        <v>120.30999999999999</v>
      </c>
      <c r="Z2" s="4">
        <f t="shared" si="1"/>
        <v>136.91666666666666</v>
      </c>
      <c r="AA2" s="4">
        <f>AVERAGE(AA5:AA46)</f>
        <v>147.65333333333331</v>
      </c>
    </row>
    <row r="3" spans="1:27" x14ac:dyDescent="0.25">
      <c r="A3" s="24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s="24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</row>
    <row r="5" spans="1:27" x14ac:dyDescent="0.25">
      <c r="A5" s="24">
        <v>1995</v>
      </c>
      <c r="B5" s="19">
        <v>8.1999999999999993</v>
      </c>
      <c r="C5" s="19">
        <v>11</v>
      </c>
      <c r="D5" s="19">
        <v>9.9</v>
      </c>
      <c r="E5" s="19">
        <v>13.1</v>
      </c>
      <c r="F5" s="19">
        <v>17.5</v>
      </c>
      <c r="G5" s="19">
        <v>21.9</v>
      </c>
      <c r="H5" s="19">
        <v>26.4</v>
      </c>
      <c r="I5" s="19">
        <v>24.1</v>
      </c>
      <c r="J5" s="19">
        <v>20</v>
      </c>
      <c r="K5" s="19">
        <v>17.7</v>
      </c>
      <c r="L5" s="19">
        <v>11</v>
      </c>
      <c r="M5" s="19">
        <v>11.7</v>
      </c>
      <c r="O5" s="24">
        <v>1995</v>
      </c>
      <c r="P5" s="19">
        <v>124.9</v>
      </c>
      <c r="Q5" s="19">
        <v>33.1</v>
      </c>
      <c r="R5" s="19">
        <v>178.5</v>
      </c>
      <c r="S5" s="19">
        <v>93.6</v>
      </c>
      <c r="T5" s="19">
        <v>64</v>
      </c>
      <c r="U5" s="19">
        <v>63.8</v>
      </c>
      <c r="V5" s="19">
        <v>9.1999999999999993</v>
      </c>
      <c r="W5" s="19">
        <v>144.30000000000001</v>
      </c>
      <c r="X5" s="19">
        <v>80.099999999999994</v>
      </c>
      <c r="Y5" s="19">
        <v>24.3</v>
      </c>
      <c r="Z5" s="19">
        <v>130.9</v>
      </c>
      <c r="AA5" s="19">
        <v>155.30000000000001</v>
      </c>
    </row>
    <row r="6" spans="1:27" x14ac:dyDescent="0.25">
      <c r="A6" s="24">
        <v>1996</v>
      </c>
      <c r="B6" s="19">
        <v>9.8000000000000007</v>
      </c>
      <c r="C6" s="19">
        <v>8</v>
      </c>
      <c r="D6" s="19">
        <v>9.3000000000000007</v>
      </c>
      <c r="E6" s="19">
        <v>13.9</v>
      </c>
      <c r="F6" s="19">
        <v>18.8</v>
      </c>
      <c r="G6" s="19">
        <v>22.9</v>
      </c>
      <c r="H6" s="19">
        <v>24</v>
      </c>
      <c r="I6" s="19">
        <v>24.5</v>
      </c>
      <c r="J6" s="19">
        <v>18.600000000000001</v>
      </c>
      <c r="K6" s="19">
        <v>16.7</v>
      </c>
      <c r="L6" s="19">
        <v>13.9</v>
      </c>
      <c r="M6" s="19">
        <v>10.1</v>
      </c>
      <c r="O6" s="24">
        <v>1996</v>
      </c>
      <c r="P6" s="19">
        <v>146.80000000000001</v>
      </c>
      <c r="Q6" s="19">
        <v>117.5</v>
      </c>
      <c r="R6" s="19">
        <v>148.80000000000001</v>
      </c>
      <c r="S6" s="19">
        <v>174.9</v>
      </c>
      <c r="T6" s="19">
        <v>91.7</v>
      </c>
      <c r="U6" s="19">
        <v>7.1</v>
      </c>
      <c r="V6" s="19">
        <v>7.9</v>
      </c>
      <c r="W6" s="19">
        <v>153.69999999999999</v>
      </c>
      <c r="X6" s="19">
        <v>200</v>
      </c>
      <c r="Y6" s="19">
        <v>78.900000000000006</v>
      </c>
      <c r="Z6" s="19">
        <v>196.7</v>
      </c>
      <c r="AA6" s="19">
        <v>145</v>
      </c>
    </row>
    <row r="7" spans="1:27" x14ac:dyDescent="0.25">
      <c r="A7" s="24">
        <v>1997</v>
      </c>
      <c r="B7" s="19">
        <v>10.6</v>
      </c>
      <c r="C7" s="19">
        <v>10.3</v>
      </c>
      <c r="D7" s="19">
        <v>12.2</v>
      </c>
      <c r="E7" s="19">
        <v>11.2</v>
      </c>
      <c r="F7" s="19">
        <v>18.600000000000001</v>
      </c>
      <c r="G7" s="19">
        <v>22.5</v>
      </c>
      <c r="H7" s="19">
        <v>24.3</v>
      </c>
      <c r="I7" s="19">
        <v>24.5</v>
      </c>
      <c r="J7" s="19">
        <v>22.3</v>
      </c>
      <c r="K7" s="19">
        <v>16.100000000000001</v>
      </c>
      <c r="L7" s="19">
        <v>14.5</v>
      </c>
      <c r="M7" s="19">
        <v>11</v>
      </c>
      <c r="O7" s="24">
        <v>1997</v>
      </c>
      <c r="P7" s="19">
        <v>74.5</v>
      </c>
      <c r="Q7" s="19">
        <v>67.8</v>
      </c>
      <c r="R7" s="19">
        <v>49.2</v>
      </c>
      <c r="S7" s="19">
        <v>71.099999999999994</v>
      </c>
      <c r="T7" s="19">
        <v>45.6</v>
      </c>
      <c r="U7" s="19">
        <v>9.8000000000000007</v>
      </c>
      <c r="V7" s="19">
        <v>1.2</v>
      </c>
      <c r="W7" s="19">
        <v>28.7</v>
      </c>
      <c r="X7" s="19">
        <v>43.7</v>
      </c>
      <c r="Y7" s="19">
        <v>110.9</v>
      </c>
      <c r="Z7" s="19">
        <v>150.19999999999999</v>
      </c>
      <c r="AA7" s="19">
        <v>150.30000000000001</v>
      </c>
    </row>
    <row r="8" spans="1:27" x14ac:dyDescent="0.25">
      <c r="A8" s="24">
        <v>1998</v>
      </c>
      <c r="B8" s="19">
        <v>10.7</v>
      </c>
      <c r="C8" s="19">
        <v>11.8</v>
      </c>
      <c r="D8" s="19">
        <v>9.6</v>
      </c>
      <c r="E8" s="19">
        <v>14.1</v>
      </c>
      <c r="F8" s="19">
        <v>17.899999999999999</v>
      </c>
      <c r="G8" s="19">
        <v>23</v>
      </c>
      <c r="H8" s="19">
        <v>25.6</v>
      </c>
      <c r="I8" s="19">
        <v>26.6</v>
      </c>
      <c r="J8" s="19">
        <v>21.5</v>
      </c>
      <c r="K8" s="19">
        <v>17.8</v>
      </c>
      <c r="L8" s="19">
        <v>12</v>
      </c>
      <c r="M8" s="19">
        <v>8.5</v>
      </c>
      <c r="O8" s="24">
        <v>1998</v>
      </c>
      <c r="P8" s="19">
        <v>79.900000000000006</v>
      </c>
      <c r="Q8" s="19">
        <v>73.2</v>
      </c>
      <c r="R8" s="19">
        <v>27.2</v>
      </c>
      <c r="S8" s="19">
        <v>72.599999999999994</v>
      </c>
      <c r="T8" s="19">
        <v>106.6</v>
      </c>
      <c r="U8" s="19">
        <v>25</v>
      </c>
      <c r="V8" s="19">
        <v>8.6</v>
      </c>
      <c r="W8" s="19">
        <v>103.4</v>
      </c>
      <c r="X8" s="19">
        <v>88.5</v>
      </c>
      <c r="Y8" s="19">
        <v>171.9</v>
      </c>
      <c r="Z8" s="19">
        <v>179.9</v>
      </c>
      <c r="AA8" s="19">
        <v>114.5</v>
      </c>
    </row>
    <row r="9" spans="1:27" x14ac:dyDescent="0.25">
      <c r="A9" s="24">
        <v>1999</v>
      </c>
      <c r="B9" s="19">
        <v>9.6999999999999993</v>
      </c>
      <c r="C9" s="19">
        <v>8.1999999999999993</v>
      </c>
      <c r="D9" s="19">
        <v>12</v>
      </c>
      <c r="E9" s="19">
        <v>14.5</v>
      </c>
      <c r="F9" s="19">
        <v>20.100000000000001</v>
      </c>
      <c r="G9" s="19">
        <v>23.4</v>
      </c>
      <c r="H9" s="19">
        <v>25.2</v>
      </c>
      <c r="I9" s="19">
        <v>26</v>
      </c>
      <c r="J9" s="19">
        <v>22.6</v>
      </c>
      <c r="K9" s="19">
        <v>18.8</v>
      </c>
      <c r="L9" s="19">
        <v>13.8</v>
      </c>
      <c r="M9" s="19">
        <v>11</v>
      </c>
      <c r="O9" s="24">
        <v>1999</v>
      </c>
      <c r="P9" s="19">
        <v>74.2</v>
      </c>
      <c r="Q9" s="19">
        <v>42</v>
      </c>
      <c r="R9" s="19">
        <v>99.8</v>
      </c>
      <c r="S9" s="19">
        <v>122.3</v>
      </c>
      <c r="T9" s="19">
        <v>23.1</v>
      </c>
      <c r="U9" s="19">
        <v>66.7</v>
      </c>
      <c r="V9" s="19">
        <v>12.5</v>
      </c>
      <c r="W9" s="19">
        <v>66.5</v>
      </c>
      <c r="X9" s="19">
        <v>75.099999999999994</v>
      </c>
      <c r="Y9" s="19">
        <v>76.8</v>
      </c>
      <c r="Z9" s="19">
        <v>133.1</v>
      </c>
      <c r="AA9" s="19">
        <v>227.6</v>
      </c>
    </row>
    <row r="10" spans="1:27" x14ac:dyDescent="0.25">
      <c r="A10" s="24">
        <v>2000</v>
      </c>
      <c r="B10" s="19">
        <v>7.5</v>
      </c>
      <c r="C10" s="19">
        <v>9.5</v>
      </c>
      <c r="D10" s="19">
        <v>10.4</v>
      </c>
      <c r="E10" s="19">
        <v>15.9</v>
      </c>
      <c r="F10" s="19">
        <v>21.1</v>
      </c>
      <c r="G10" s="19">
        <v>23.9</v>
      </c>
      <c r="H10" s="19">
        <v>24.3</v>
      </c>
      <c r="I10" s="19">
        <v>25.4</v>
      </c>
      <c r="J10" s="19">
        <v>21.5</v>
      </c>
      <c r="K10" s="19">
        <v>18.8</v>
      </c>
      <c r="L10" s="19">
        <v>16.3</v>
      </c>
      <c r="M10" s="19">
        <v>11.7</v>
      </c>
      <c r="O10" s="24">
        <v>2000</v>
      </c>
      <c r="P10" s="19">
        <v>29.6</v>
      </c>
      <c r="Q10" s="19">
        <v>47.4</v>
      </c>
      <c r="R10" s="19">
        <v>41.1</v>
      </c>
      <c r="S10" s="19">
        <v>43.3</v>
      </c>
      <c r="T10" s="19">
        <v>2.6</v>
      </c>
      <c r="U10" s="19">
        <v>5.2</v>
      </c>
      <c r="V10" s="19">
        <v>50.6</v>
      </c>
      <c r="W10" s="19">
        <v>22.6</v>
      </c>
      <c r="X10" s="19">
        <v>39.5</v>
      </c>
      <c r="Y10" s="19">
        <v>233.7</v>
      </c>
      <c r="Z10" s="19">
        <v>259.7</v>
      </c>
      <c r="AA10" s="19">
        <v>159.6</v>
      </c>
    </row>
    <row r="11" spans="1:27" x14ac:dyDescent="0.25">
      <c r="A11" s="24">
        <v>2001</v>
      </c>
      <c r="B11" s="19">
        <v>11.1</v>
      </c>
      <c r="C11" s="19">
        <v>10.7</v>
      </c>
      <c r="D11" s="19">
        <v>14</v>
      </c>
      <c r="E11" s="19">
        <v>13.9</v>
      </c>
      <c r="F11" s="19">
        <v>20</v>
      </c>
      <c r="G11" s="19">
        <v>22.2</v>
      </c>
      <c r="H11" s="19">
        <v>25.9</v>
      </c>
      <c r="I11" s="19">
        <v>26.9</v>
      </c>
      <c r="J11" s="19">
        <v>20.100000000000001</v>
      </c>
      <c r="K11" s="19">
        <v>19.2</v>
      </c>
      <c r="L11" s="19">
        <v>12.7</v>
      </c>
      <c r="M11" s="19">
        <v>7</v>
      </c>
      <c r="O11" s="24">
        <v>2001</v>
      </c>
      <c r="P11" s="19">
        <v>201.8</v>
      </c>
      <c r="Q11" s="19">
        <v>86.6</v>
      </c>
      <c r="R11" s="19">
        <v>168.4</v>
      </c>
      <c r="S11" s="19">
        <v>97.1</v>
      </c>
      <c r="T11" s="19">
        <v>46.3</v>
      </c>
      <c r="U11" s="19">
        <v>12.8</v>
      </c>
      <c r="V11" s="19">
        <v>3.9</v>
      </c>
      <c r="W11" s="19">
        <v>11.1</v>
      </c>
      <c r="X11" s="19">
        <v>69.3</v>
      </c>
      <c r="Y11" s="19">
        <v>58.4</v>
      </c>
      <c r="Z11" s="19">
        <v>157.80000000000001</v>
      </c>
      <c r="AA11" s="19">
        <v>69.900000000000006</v>
      </c>
    </row>
    <row r="12" spans="1:27" x14ac:dyDescent="0.25">
      <c r="A12" s="24">
        <v>2002</v>
      </c>
      <c r="B12" s="19">
        <v>8.5</v>
      </c>
      <c r="C12" s="19">
        <v>12.2</v>
      </c>
      <c r="D12" s="19">
        <v>13.8</v>
      </c>
      <c r="E12" s="19">
        <v>14.9</v>
      </c>
      <c r="F12" s="19">
        <v>19.2</v>
      </c>
      <c r="G12" s="19">
        <v>24.5</v>
      </c>
      <c r="H12" s="19">
        <v>26.5</v>
      </c>
      <c r="I12" s="19">
        <v>24.4</v>
      </c>
      <c r="J12" s="19">
        <v>21</v>
      </c>
      <c r="K12" s="19">
        <v>17.7</v>
      </c>
      <c r="L12" s="19">
        <v>15.2</v>
      </c>
      <c r="M12" s="19">
        <v>11</v>
      </c>
      <c r="O12" s="24">
        <v>2002</v>
      </c>
      <c r="P12" s="19">
        <v>212</v>
      </c>
      <c r="Q12" s="19">
        <v>66</v>
      </c>
      <c r="R12" s="19">
        <v>15</v>
      </c>
      <c r="S12" s="19">
        <v>71</v>
      </c>
      <c r="T12" s="19">
        <v>98</v>
      </c>
      <c r="U12" s="19">
        <v>14</v>
      </c>
      <c r="V12" s="19">
        <v>61</v>
      </c>
      <c r="W12" s="19">
        <v>126</v>
      </c>
      <c r="X12" s="19">
        <v>103</v>
      </c>
      <c r="Y12" s="19">
        <v>274</v>
      </c>
      <c r="Z12" s="19">
        <v>50</v>
      </c>
      <c r="AA12" s="19">
        <v>269</v>
      </c>
    </row>
    <row r="13" spans="1:27" x14ac:dyDescent="0.25">
      <c r="A13" s="24">
        <v>2003</v>
      </c>
      <c r="B13" s="19">
        <v>10.4</v>
      </c>
      <c r="C13" s="19">
        <v>6.4</v>
      </c>
      <c r="D13" s="19">
        <v>11.4</v>
      </c>
      <c r="E13" s="19">
        <v>13.9</v>
      </c>
      <c r="F13" s="19">
        <v>21.4</v>
      </c>
      <c r="G13" s="19">
        <v>26.6</v>
      </c>
      <c r="H13" s="19">
        <v>26.7</v>
      </c>
      <c r="I13" s="19">
        <v>27.6</v>
      </c>
      <c r="J13" s="19">
        <v>21.2</v>
      </c>
      <c r="K13" s="19">
        <v>16.899999999999999</v>
      </c>
      <c r="L13" s="19">
        <v>15.1</v>
      </c>
      <c r="M13" s="19">
        <v>11.1</v>
      </c>
      <c r="O13" s="24">
        <v>2003</v>
      </c>
      <c r="P13" s="19">
        <v>190.6</v>
      </c>
      <c r="Q13" s="19">
        <v>53.2</v>
      </c>
      <c r="R13" s="19">
        <v>12.4</v>
      </c>
      <c r="S13" s="19">
        <v>73.400000000000006</v>
      </c>
      <c r="T13" s="19">
        <v>8.4</v>
      </c>
      <c r="U13" s="19">
        <v>64.7</v>
      </c>
      <c r="V13" s="19">
        <v>0</v>
      </c>
      <c r="W13" s="19">
        <v>26.7</v>
      </c>
      <c r="X13" s="19">
        <v>176.8</v>
      </c>
      <c r="Y13" s="19">
        <v>92.1</v>
      </c>
      <c r="Z13" s="19">
        <v>104</v>
      </c>
      <c r="AA13" s="19">
        <v>76.900000000000006</v>
      </c>
    </row>
    <row r="14" spans="1:27" x14ac:dyDescent="0.25">
      <c r="A14" s="24">
        <v>2004</v>
      </c>
      <c r="B14" s="19">
        <v>8.1</v>
      </c>
      <c r="C14" s="19">
        <v>9.8000000000000007</v>
      </c>
      <c r="D14" s="19">
        <v>11.4</v>
      </c>
      <c r="E14" s="19">
        <v>15.3</v>
      </c>
      <c r="F14" s="19">
        <v>17</v>
      </c>
      <c r="G14" s="19">
        <v>22.8</v>
      </c>
      <c r="H14" s="19">
        <v>25.9</v>
      </c>
      <c r="I14" s="19">
        <v>24.8</v>
      </c>
      <c r="J14" s="19">
        <v>21.7</v>
      </c>
      <c r="K14" s="19">
        <v>19.7</v>
      </c>
      <c r="L14" s="19">
        <v>13.6</v>
      </c>
      <c r="M14" s="19">
        <v>12.1</v>
      </c>
      <c r="O14" s="24">
        <v>2004</v>
      </c>
      <c r="P14" s="19">
        <v>112.6</v>
      </c>
      <c r="Q14" s="19">
        <v>116.3</v>
      </c>
      <c r="R14" s="19">
        <v>143.4</v>
      </c>
      <c r="S14" s="19">
        <v>79.7</v>
      </c>
      <c r="T14" s="19">
        <v>131.19999999999999</v>
      </c>
      <c r="U14" s="19">
        <v>77.599999999999994</v>
      </c>
      <c r="V14" s="19">
        <v>14.2</v>
      </c>
      <c r="W14" s="19">
        <v>68.2</v>
      </c>
      <c r="X14" s="19">
        <v>87.5</v>
      </c>
      <c r="Y14" s="19">
        <v>130.30000000000001</v>
      </c>
      <c r="Z14" s="19">
        <v>216.2</v>
      </c>
      <c r="AA14" s="19">
        <v>139.9</v>
      </c>
    </row>
    <row r="15" spans="1:27" x14ac:dyDescent="0.25">
      <c r="A15" s="24">
        <v>2005</v>
      </c>
      <c r="B15" s="19">
        <v>8.1</v>
      </c>
      <c r="C15" s="19">
        <v>6.7</v>
      </c>
      <c r="D15" s="19">
        <v>10.199999999999999</v>
      </c>
      <c r="E15" s="19">
        <v>13.7</v>
      </c>
      <c r="F15" s="19">
        <v>19.7</v>
      </c>
      <c r="G15" s="19">
        <v>22.4</v>
      </c>
      <c r="H15" s="19">
        <v>24.8</v>
      </c>
      <c r="I15" s="19">
        <v>23.8</v>
      </c>
      <c r="J15" s="19">
        <v>22.4</v>
      </c>
      <c r="K15" s="19">
        <v>17.5</v>
      </c>
      <c r="L15" s="19">
        <v>13.2</v>
      </c>
      <c r="M15" s="19">
        <v>10.199999999999999</v>
      </c>
      <c r="O15" s="24">
        <v>2005</v>
      </c>
      <c r="P15" s="19">
        <v>85.9</v>
      </c>
      <c r="Q15" s="19">
        <v>217.4</v>
      </c>
      <c r="R15" s="19">
        <v>93.2</v>
      </c>
      <c r="S15" s="19">
        <v>91.1</v>
      </c>
      <c r="T15" s="19">
        <v>19.8</v>
      </c>
      <c r="U15" s="19">
        <v>98.9</v>
      </c>
      <c r="V15" s="19">
        <v>152</v>
      </c>
      <c r="W15" s="19">
        <v>50.1</v>
      </c>
      <c r="X15" s="19">
        <v>62.2</v>
      </c>
      <c r="Y15" s="19">
        <v>68.7</v>
      </c>
      <c r="Z15" s="19">
        <v>140.5</v>
      </c>
      <c r="AA15" s="19">
        <v>195.7</v>
      </c>
    </row>
    <row r="16" spans="1:27" x14ac:dyDescent="0.25">
      <c r="A16" s="24">
        <v>2006</v>
      </c>
      <c r="B16" s="19">
        <v>8.1</v>
      </c>
      <c r="C16" s="19">
        <v>9</v>
      </c>
      <c r="D16" s="19">
        <v>10.4</v>
      </c>
      <c r="E16" s="19">
        <v>15.2</v>
      </c>
      <c r="F16" s="19">
        <v>19.100000000000001</v>
      </c>
      <c r="G16" s="19">
        <v>22.3</v>
      </c>
      <c r="H16" s="19">
        <v>25.7</v>
      </c>
      <c r="I16" s="19">
        <v>24.3</v>
      </c>
      <c r="J16" s="19">
        <v>22.9</v>
      </c>
      <c r="K16" s="19">
        <v>19.100000000000001</v>
      </c>
      <c r="L16" s="19">
        <v>12.5</v>
      </c>
      <c r="M16" s="19">
        <v>11.2</v>
      </c>
      <c r="O16" s="24">
        <v>2006</v>
      </c>
      <c r="P16" s="19">
        <v>59.2</v>
      </c>
      <c r="Q16" s="19">
        <v>116.6</v>
      </c>
      <c r="R16" s="19">
        <v>180.3</v>
      </c>
      <c r="S16" s="19">
        <v>116.5</v>
      </c>
      <c r="T16" s="19">
        <v>88.8</v>
      </c>
      <c r="U16" s="19">
        <v>123.8</v>
      </c>
      <c r="V16" s="19">
        <v>78</v>
      </c>
      <c r="W16" s="19">
        <v>95.6</v>
      </c>
      <c r="X16" s="19">
        <v>82.3</v>
      </c>
      <c r="Y16" s="19">
        <v>7.1</v>
      </c>
      <c r="Z16" s="19">
        <v>49.2</v>
      </c>
      <c r="AA16" s="19">
        <v>193</v>
      </c>
    </row>
    <row r="17" spans="1:27" x14ac:dyDescent="0.25">
      <c r="A17" s="24">
        <v>2007</v>
      </c>
      <c r="B17" s="19">
        <v>10.8</v>
      </c>
      <c r="C17" s="19">
        <v>11.1</v>
      </c>
      <c r="D17" s="19">
        <v>12.5</v>
      </c>
      <c r="E17" s="19">
        <v>16.2</v>
      </c>
      <c r="F17" s="19">
        <v>20.399999999999999</v>
      </c>
      <c r="G17" s="19">
        <v>24.5</v>
      </c>
      <c r="H17" s="19">
        <v>26.6</v>
      </c>
      <c r="I17" s="19">
        <v>26.2</v>
      </c>
      <c r="J17" s="19">
        <v>20.399999999999999</v>
      </c>
      <c r="K17" s="19">
        <v>17</v>
      </c>
      <c r="L17" s="19">
        <v>12.2</v>
      </c>
      <c r="M17" s="19">
        <v>9.1</v>
      </c>
      <c r="O17" s="24">
        <v>2007</v>
      </c>
      <c r="P17" s="19">
        <v>73.5</v>
      </c>
      <c r="Q17" s="19">
        <v>172.4</v>
      </c>
      <c r="R17" s="19">
        <v>149.5</v>
      </c>
      <c r="S17" s="19">
        <v>38.4</v>
      </c>
      <c r="T17" s="19">
        <v>60.6</v>
      </c>
      <c r="U17" s="19">
        <v>13.4</v>
      </c>
      <c r="V17" s="19">
        <v>0</v>
      </c>
      <c r="W17" s="19">
        <v>1.3</v>
      </c>
      <c r="X17" s="19">
        <v>63.1</v>
      </c>
      <c r="Y17" s="19">
        <v>109.3</v>
      </c>
      <c r="Z17" s="19">
        <v>157.19999999999999</v>
      </c>
      <c r="AA17" s="19">
        <v>119.6</v>
      </c>
    </row>
    <row r="18" spans="1:27" x14ac:dyDescent="0.25">
      <c r="A18" s="24">
        <v>2008</v>
      </c>
      <c r="B18" s="19">
        <v>9.9</v>
      </c>
      <c r="C18" s="19">
        <v>9.6</v>
      </c>
      <c r="D18" s="19">
        <v>12.3</v>
      </c>
      <c r="E18" s="19">
        <v>14.7</v>
      </c>
      <c r="F18" s="19">
        <v>19.399999999999999</v>
      </c>
      <c r="G18" s="19">
        <v>23.9</v>
      </c>
      <c r="H18" s="19">
        <v>26.2</v>
      </c>
      <c r="I18" s="19">
        <v>26.3</v>
      </c>
      <c r="J18" s="19">
        <v>21.1</v>
      </c>
      <c r="K18" s="19">
        <v>18.100000000000001</v>
      </c>
      <c r="L18" s="19">
        <v>14.8</v>
      </c>
      <c r="M18" s="19">
        <v>11</v>
      </c>
      <c r="O18" s="24">
        <v>2008</v>
      </c>
      <c r="P18" s="19">
        <v>92.7</v>
      </c>
      <c r="Q18" s="19">
        <v>72.900000000000006</v>
      </c>
      <c r="R18" s="19">
        <v>98.8</v>
      </c>
      <c r="S18" s="19">
        <v>74.3</v>
      </c>
      <c r="T18" s="19">
        <v>23.7</v>
      </c>
      <c r="U18" s="19">
        <v>63.5</v>
      </c>
      <c r="V18" s="19">
        <v>0.8</v>
      </c>
      <c r="W18" s="19">
        <v>0</v>
      </c>
      <c r="X18" s="19">
        <v>92.1</v>
      </c>
      <c r="Y18" s="19">
        <v>33.6</v>
      </c>
      <c r="Z18" s="19">
        <v>177.9</v>
      </c>
      <c r="AA18" s="19">
        <v>142</v>
      </c>
    </row>
    <row r="19" spans="1:27" x14ac:dyDescent="0.25">
      <c r="A19" s="24">
        <v>2009</v>
      </c>
      <c r="B19" s="19">
        <v>10</v>
      </c>
      <c r="C19" s="19">
        <v>8</v>
      </c>
      <c r="D19" s="19">
        <v>11.3</v>
      </c>
      <c r="E19" s="19">
        <v>15.9</v>
      </c>
      <c r="F19" s="19">
        <v>21.3</v>
      </c>
      <c r="G19" s="19">
        <v>22.6</v>
      </c>
      <c r="H19" s="19">
        <v>26.2</v>
      </c>
      <c r="I19" s="19">
        <v>26.8</v>
      </c>
      <c r="J19" s="19">
        <v>23.5</v>
      </c>
      <c r="K19" s="19">
        <v>17.100000000000001</v>
      </c>
      <c r="L19" s="19">
        <v>14.1</v>
      </c>
      <c r="M19" s="19">
        <v>11.5</v>
      </c>
      <c r="O19" s="24">
        <v>2009</v>
      </c>
      <c r="P19" s="19">
        <v>216.5</v>
      </c>
      <c r="Q19" s="19">
        <v>119.9</v>
      </c>
      <c r="R19" s="19">
        <v>162.5</v>
      </c>
      <c r="S19" s="19">
        <v>50.6</v>
      </c>
      <c r="T19" s="19">
        <v>31.5</v>
      </c>
      <c r="U19" s="19">
        <v>179.6</v>
      </c>
      <c r="V19" s="19">
        <v>5.8</v>
      </c>
      <c r="W19" s="19">
        <v>64</v>
      </c>
      <c r="X19" s="19">
        <v>58</v>
      </c>
      <c r="Y19" s="19">
        <v>262.3</v>
      </c>
      <c r="Z19" s="19">
        <v>209.5</v>
      </c>
      <c r="AA19" s="19">
        <v>229.7</v>
      </c>
    </row>
    <row r="20" spans="1:27" x14ac:dyDescent="0.25">
      <c r="A20" s="24">
        <v>2010</v>
      </c>
      <c r="B20" s="19">
        <v>8.9</v>
      </c>
      <c r="C20" s="19">
        <v>9.4</v>
      </c>
      <c r="D20" s="19">
        <v>11.1</v>
      </c>
      <c r="E20" s="19">
        <v>15.7</v>
      </c>
      <c r="F20" s="19">
        <v>18.3</v>
      </c>
      <c r="G20" s="19">
        <v>23</v>
      </c>
      <c r="H20" s="19">
        <v>26</v>
      </c>
      <c r="I20" s="19">
        <v>24.7</v>
      </c>
      <c r="J20" s="19">
        <v>20.6</v>
      </c>
      <c r="K20" s="19">
        <v>16.399999999999999</v>
      </c>
      <c r="L20" s="19">
        <v>14.9</v>
      </c>
      <c r="M20" s="19">
        <v>9.6</v>
      </c>
      <c r="O20" s="24">
        <v>2010</v>
      </c>
      <c r="P20" s="19">
        <v>129.69999999999999</v>
      </c>
      <c r="Q20" s="19">
        <v>278.2</v>
      </c>
      <c r="R20" s="19">
        <v>128.9</v>
      </c>
      <c r="S20" s="19">
        <v>58.9</v>
      </c>
      <c r="T20" s="19">
        <v>131.9</v>
      </c>
      <c r="U20" s="19">
        <v>65</v>
      </c>
      <c r="V20" s="19">
        <v>12.9</v>
      </c>
      <c r="W20" s="19">
        <v>37.299999999999997</v>
      </c>
      <c r="X20" s="19">
        <v>129.30000000000001</v>
      </c>
      <c r="Y20" s="19">
        <v>288.7</v>
      </c>
      <c r="Z20" s="19">
        <v>278.10000000000002</v>
      </c>
      <c r="AA20" s="19">
        <v>182.9</v>
      </c>
    </row>
    <row r="21" spans="1:27" x14ac:dyDescent="0.25">
      <c r="A21" s="24">
        <v>2011</v>
      </c>
      <c r="B21" s="19">
        <v>8.6</v>
      </c>
      <c r="C21" s="19">
        <v>10.1</v>
      </c>
      <c r="D21" s="19">
        <v>12.1</v>
      </c>
      <c r="E21" s="19">
        <v>15.9</v>
      </c>
      <c r="F21" s="19">
        <v>19.5</v>
      </c>
      <c r="G21" s="19">
        <v>24.4</v>
      </c>
      <c r="H21" s="19">
        <v>25.4</v>
      </c>
      <c r="I21" s="19">
        <v>27.1</v>
      </c>
      <c r="J21" s="19">
        <v>25.5</v>
      </c>
      <c r="K21" s="19">
        <v>18.2</v>
      </c>
      <c r="L21" s="19">
        <v>14.6</v>
      </c>
      <c r="M21" s="19">
        <v>11.5</v>
      </c>
      <c r="O21" s="24">
        <v>2011</v>
      </c>
      <c r="P21" s="19">
        <v>147.6</v>
      </c>
      <c r="Q21" s="19">
        <v>118.8</v>
      </c>
      <c r="R21" s="19">
        <v>70.7</v>
      </c>
      <c r="S21" s="19">
        <v>10.8</v>
      </c>
      <c r="T21" s="19">
        <v>83.3</v>
      </c>
      <c r="U21" s="19">
        <v>0.3</v>
      </c>
      <c r="V21" s="19">
        <v>61.7</v>
      </c>
      <c r="W21" s="19">
        <v>0.1</v>
      </c>
      <c r="X21" s="19">
        <v>17.100000000000001</v>
      </c>
      <c r="Y21" s="19">
        <v>120.9</v>
      </c>
      <c r="Z21" s="19">
        <v>43.7</v>
      </c>
      <c r="AA21" s="19">
        <v>151.19999999999999</v>
      </c>
    </row>
    <row r="22" spans="1:27" x14ac:dyDescent="0.25">
      <c r="A22" s="24">
        <v>2012</v>
      </c>
      <c r="B22" s="19">
        <v>8.3000000000000007</v>
      </c>
      <c r="C22" s="19">
        <v>7.5</v>
      </c>
      <c r="D22" s="19">
        <v>13.4</v>
      </c>
      <c r="E22" s="19">
        <v>14.5</v>
      </c>
      <c r="F22" s="19">
        <v>18.7</v>
      </c>
      <c r="G22" s="19">
        <v>25</v>
      </c>
      <c r="H22" s="19">
        <v>28.2</v>
      </c>
      <c r="I22" s="19">
        <v>27.7</v>
      </c>
      <c r="J22" s="19">
        <v>23.5</v>
      </c>
      <c r="K22" s="19">
        <v>19.100000000000001</v>
      </c>
      <c r="L22" s="19">
        <v>16.2</v>
      </c>
      <c r="M22" s="19">
        <v>9.6</v>
      </c>
      <c r="O22" s="24">
        <v>2012</v>
      </c>
      <c r="P22" s="19">
        <v>51.1</v>
      </c>
      <c r="Q22" s="19">
        <v>244.3</v>
      </c>
      <c r="R22" s="19">
        <v>5.2</v>
      </c>
      <c r="S22" s="19">
        <v>193.1</v>
      </c>
      <c r="T22" s="19">
        <v>99.5</v>
      </c>
      <c r="U22" s="19">
        <v>13.4</v>
      </c>
      <c r="V22" s="19">
        <v>20</v>
      </c>
      <c r="W22" s="19">
        <v>0</v>
      </c>
      <c r="X22" s="19">
        <v>117.5</v>
      </c>
      <c r="Y22" s="19">
        <v>98.5</v>
      </c>
      <c r="Z22" s="19">
        <v>77.3</v>
      </c>
      <c r="AA22" s="19">
        <v>282.60000000000002</v>
      </c>
    </row>
    <row r="23" spans="1:27" x14ac:dyDescent="0.25">
      <c r="A23" s="24">
        <v>2013</v>
      </c>
      <c r="B23" s="19">
        <v>10.1</v>
      </c>
      <c r="C23" s="19">
        <v>9.5</v>
      </c>
      <c r="D23" s="19">
        <v>11.2</v>
      </c>
      <c r="E23" s="19">
        <v>15.9</v>
      </c>
      <c r="F23" s="19">
        <v>19.2</v>
      </c>
      <c r="G23" s="19">
        <v>22.7</v>
      </c>
      <c r="H23" s="19">
        <v>26.2</v>
      </c>
      <c r="I23" s="19">
        <v>26.4</v>
      </c>
      <c r="J23" s="19">
        <v>22.5</v>
      </c>
      <c r="K23" s="19">
        <v>18.600000000000001</v>
      </c>
      <c r="L23" s="19">
        <v>15.7</v>
      </c>
      <c r="M23" s="19">
        <v>12.2</v>
      </c>
      <c r="O23" s="24">
        <v>2013</v>
      </c>
      <c r="P23" s="19">
        <v>204.4</v>
      </c>
      <c r="Q23" s="19">
        <v>237.3</v>
      </c>
      <c r="R23" s="19">
        <v>215.4</v>
      </c>
      <c r="S23" s="19">
        <v>143.1</v>
      </c>
      <c r="T23" s="19">
        <v>69.8</v>
      </c>
      <c r="U23" s="19">
        <v>34.1</v>
      </c>
      <c r="V23" s="19">
        <v>0.7</v>
      </c>
      <c r="W23" s="19">
        <v>114.3</v>
      </c>
      <c r="X23" s="19">
        <v>80.099999999999994</v>
      </c>
      <c r="Y23" s="19">
        <v>187.1</v>
      </c>
      <c r="Z23" s="19">
        <v>254.7</v>
      </c>
      <c r="AA23" s="19">
        <v>53.5</v>
      </c>
    </row>
    <row r="24" spans="1:27" x14ac:dyDescent="0.25">
      <c r="A24" s="24">
        <v>2014</v>
      </c>
      <c r="B24" s="19">
        <v>11.9</v>
      </c>
      <c r="C24" s="19">
        <v>12.9</v>
      </c>
      <c r="D24" s="19">
        <v>13.2</v>
      </c>
      <c r="E24" s="19">
        <v>15.4</v>
      </c>
      <c r="F24" s="19">
        <v>18</v>
      </c>
      <c r="G24" s="19">
        <v>23.3</v>
      </c>
      <c r="H24" s="19">
        <v>24.6</v>
      </c>
      <c r="I24" s="19">
        <v>25.6</v>
      </c>
      <c r="J24" s="19">
        <v>21.4</v>
      </c>
      <c r="K24" s="19">
        <v>18.399999999999999</v>
      </c>
      <c r="L24" s="19">
        <v>16</v>
      </c>
      <c r="M24" s="19">
        <v>11.8</v>
      </c>
      <c r="O24" s="24">
        <v>2014</v>
      </c>
      <c r="P24" s="19">
        <v>244.6</v>
      </c>
      <c r="Q24" s="19">
        <v>116.5</v>
      </c>
      <c r="R24" s="19">
        <v>94.4</v>
      </c>
      <c r="S24" s="19">
        <v>105.9</v>
      </c>
      <c r="T24" s="19">
        <v>57.9</v>
      </c>
      <c r="U24" s="19">
        <v>190</v>
      </c>
      <c r="V24" s="19">
        <v>104.6</v>
      </c>
      <c r="W24" s="19">
        <v>45.3</v>
      </c>
      <c r="X24" s="19">
        <v>371</v>
      </c>
      <c r="Y24" s="19">
        <v>22.9</v>
      </c>
      <c r="Z24" s="19">
        <v>91.7</v>
      </c>
      <c r="AA24" s="19">
        <v>175.6</v>
      </c>
    </row>
    <row r="25" spans="1:27" x14ac:dyDescent="0.25">
      <c r="A25" s="24">
        <v>2015</v>
      </c>
      <c r="B25" s="19">
        <v>10</v>
      </c>
      <c r="C25" s="19">
        <v>9.8000000000000007</v>
      </c>
      <c r="D25" s="19">
        <v>12</v>
      </c>
      <c r="E25" s="19">
        <v>14.4</v>
      </c>
      <c r="F25" s="19">
        <v>19.8</v>
      </c>
      <c r="G25" s="19">
        <v>23.8</v>
      </c>
      <c r="H25" s="19">
        <v>28</v>
      </c>
      <c r="I25" s="19">
        <v>27.4</v>
      </c>
      <c r="J25" s="19">
        <v>23.6</v>
      </c>
      <c r="K25" s="19">
        <v>18.600000000000001</v>
      </c>
      <c r="L25" s="19">
        <v>15.4</v>
      </c>
      <c r="M25" s="19">
        <v>12</v>
      </c>
      <c r="O25" s="24">
        <v>2015</v>
      </c>
      <c r="P25" s="19">
        <v>175.4</v>
      </c>
      <c r="Q25" s="19">
        <v>138.19999999999999</v>
      </c>
      <c r="R25" s="19">
        <v>256</v>
      </c>
      <c r="S25" s="19">
        <v>23.8</v>
      </c>
      <c r="T25" s="19">
        <v>35.1</v>
      </c>
      <c r="U25" s="19">
        <v>60.7</v>
      </c>
      <c r="V25" s="19">
        <v>4.3</v>
      </c>
      <c r="W25" s="19">
        <v>113.8</v>
      </c>
      <c r="X25" s="19">
        <v>93.4</v>
      </c>
      <c r="Y25" s="19">
        <v>198.9</v>
      </c>
      <c r="Z25" s="19">
        <v>23.8</v>
      </c>
      <c r="AA25" s="19">
        <v>0</v>
      </c>
    </row>
    <row r="26" spans="1:27" x14ac:dyDescent="0.25">
      <c r="A26" s="24">
        <v>2016</v>
      </c>
      <c r="B26" s="19">
        <v>9.9</v>
      </c>
      <c r="C26" s="19">
        <v>12.8</v>
      </c>
      <c r="D26" s="19">
        <v>12.6</v>
      </c>
      <c r="E26" s="19">
        <v>16.8</v>
      </c>
      <c r="F26" s="19">
        <v>18.600000000000001</v>
      </c>
      <c r="G26" s="19">
        <v>23.8</v>
      </c>
      <c r="H26" s="19">
        <v>27</v>
      </c>
      <c r="I26" s="19">
        <v>26.3</v>
      </c>
      <c r="J26" s="19">
        <v>22.5</v>
      </c>
      <c r="K26" s="19">
        <v>17.5</v>
      </c>
      <c r="L26" s="19">
        <v>13.9</v>
      </c>
      <c r="M26" s="19">
        <v>10.3</v>
      </c>
      <c r="O26" s="24">
        <v>2016</v>
      </c>
      <c r="P26" s="19">
        <v>116.5</v>
      </c>
      <c r="Q26" s="19">
        <v>80.099999999999994</v>
      </c>
      <c r="R26" s="19">
        <v>137.6</v>
      </c>
      <c r="S26" s="19">
        <v>78.5</v>
      </c>
      <c r="T26" s="19">
        <v>124.4</v>
      </c>
      <c r="U26" s="19">
        <v>88.5</v>
      </c>
      <c r="V26" s="19">
        <v>38.9</v>
      </c>
      <c r="W26" s="19">
        <v>2.6</v>
      </c>
      <c r="X26" s="19">
        <v>83.6</v>
      </c>
      <c r="Y26" s="19">
        <v>208.7</v>
      </c>
      <c r="Z26" s="19">
        <v>104.9</v>
      </c>
      <c r="AA26" s="19">
        <v>0</v>
      </c>
    </row>
    <row r="27" spans="1:27" x14ac:dyDescent="0.25">
      <c r="A27" s="24">
        <v>2017</v>
      </c>
      <c r="B27" s="19">
        <v>6.4</v>
      </c>
      <c r="C27" s="19">
        <v>11.9</v>
      </c>
      <c r="D27" s="19">
        <v>14.1</v>
      </c>
      <c r="E27" s="19">
        <v>15</v>
      </c>
      <c r="F27" s="19">
        <v>19.3</v>
      </c>
      <c r="G27" s="19">
        <v>24.5</v>
      </c>
      <c r="H27" s="19">
        <v>26.7</v>
      </c>
      <c r="I27" s="19">
        <v>27.4</v>
      </c>
      <c r="J27" s="19">
        <v>21.4</v>
      </c>
      <c r="K27" s="19">
        <v>17.899999999999999</v>
      </c>
      <c r="L27" s="19">
        <v>14</v>
      </c>
      <c r="M27" s="19">
        <v>10.1</v>
      </c>
      <c r="O27" s="24">
        <v>2017</v>
      </c>
      <c r="P27" s="19">
        <v>102.2</v>
      </c>
      <c r="Q27" s="19">
        <v>100.7</v>
      </c>
      <c r="R27" s="19">
        <v>41.8</v>
      </c>
      <c r="S27" s="19">
        <v>61.8</v>
      </c>
      <c r="T27" s="19">
        <v>51.5</v>
      </c>
      <c r="U27" s="19">
        <v>0.4</v>
      </c>
      <c r="V27" s="19">
        <v>2.2999999999999998</v>
      </c>
      <c r="W27" s="19">
        <v>0</v>
      </c>
      <c r="X27" s="19">
        <v>147.30000000000001</v>
      </c>
      <c r="Y27" s="19">
        <v>53.5</v>
      </c>
      <c r="Z27" s="19">
        <v>146.69999999999999</v>
      </c>
      <c r="AA27" s="19">
        <v>136.69999999999999</v>
      </c>
    </row>
    <row r="28" spans="1:27" x14ac:dyDescent="0.25">
      <c r="A28" s="24">
        <v>2018</v>
      </c>
      <c r="B28" s="19">
        <v>11</v>
      </c>
      <c r="C28" s="19">
        <v>9</v>
      </c>
      <c r="D28" s="19">
        <v>11.5</v>
      </c>
      <c r="E28" s="19">
        <v>18.399999999999999</v>
      </c>
      <c r="F28" s="19">
        <v>22</v>
      </c>
      <c r="G28" s="19">
        <v>24.4</v>
      </c>
      <c r="H28" s="19">
        <v>26.4</v>
      </c>
      <c r="I28" s="19">
        <v>28.1</v>
      </c>
      <c r="J28" s="19">
        <v>23.7</v>
      </c>
      <c r="K28" s="19">
        <v>20.100000000000001</v>
      </c>
      <c r="L28" s="19">
        <v>15.5</v>
      </c>
      <c r="M28" s="19">
        <v>10.6</v>
      </c>
      <c r="O28" s="24">
        <v>2018</v>
      </c>
      <c r="P28" s="19">
        <v>84.5</v>
      </c>
      <c r="Q28" s="19">
        <v>122.8</v>
      </c>
      <c r="R28" s="19">
        <v>224.4</v>
      </c>
      <c r="S28" s="19">
        <v>10.9</v>
      </c>
      <c r="T28" s="19">
        <v>44.2</v>
      </c>
      <c r="U28" s="19">
        <v>83.2</v>
      </c>
      <c r="V28" s="19">
        <v>21.2</v>
      </c>
      <c r="W28" s="19">
        <v>85.1</v>
      </c>
      <c r="X28" s="19">
        <v>4.3</v>
      </c>
      <c r="Y28" s="19">
        <v>300.5</v>
      </c>
      <c r="Z28" s="19">
        <v>167</v>
      </c>
      <c r="AA28" s="19">
        <v>123.1</v>
      </c>
    </row>
    <row r="29" spans="1:27" x14ac:dyDescent="0.25">
      <c r="A29" s="24">
        <v>2019</v>
      </c>
      <c r="B29" s="19">
        <v>7.9</v>
      </c>
      <c r="C29" s="19">
        <v>11.3</v>
      </c>
      <c r="D29" s="19">
        <v>14.5</v>
      </c>
      <c r="E29" s="19">
        <v>16.2</v>
      </c>
      <c r="F29" s="19">
        <v>16.899999999999999</v>
      </c>
      <c r="G29" s="19">
        <v>25.2</v>
      </c>
      <c r="H29" s="19">
        <v>25.8</v>
      </c>
      <c r="I29" s="19">
        <v>27.2</v>
      </c>
      <c r="J29" s="19">
        <v>23</v>
      </c>
      <c r="K29" s="19">
        <v>19.399999999999999</v>
      </c>
      <c r="L29" s="19">
        <v>17.2</v>
      </c>
      <c r="M29" s="19">
        <v>12.8</v>
      </c>
      <c r="O29" s="24">
        <v>2019</v>
      </c>
      <c r="P29" s="19">
        <v>95.7</v>
      </c>
      <c r="Q29" s="19">
        <v>55.4</v>
      </c>
      <c r="R29" s="19">
        <v>29.8</v>
      </c>
      <c r="S29" s="19">
        <v>180.8</v>
      </c>
      <c r="T29" s="19">
        <v>160.69999999999999</v>
      </c>
      <c r="U29" s="19">
        <v>10.5</v>
      </c>
      <c r="V29" s="19">
        <v>92.9</v>
      </c>
      <c r="W29" s="19">
        <v>6.7</v>
      </c>
      <c r="X29" s="19">
        <v>111</v>
      </c>
      <c r="Y29" s="19">
        <v>53.8</v>
      </c>
      <c r="Z29" s="19">
        <v>188.9</v>
      </c>
      <c r="AA29" s="19">
        <v>121.8</v>
      </c>
    </row>
    <row r="30" spans="1:27" x14ac:dyDescent="0.25">
      <c r="A30" s="24">
        <v>2020</v>
      </c>
      <c r="B30" s="19">
        <v>10.7</v>
      </c>
      <c r="C30" s="19">
        <v>11.4</v>
      </c>
      <c r="D30" s="19">
        <v>12.2</v>
      </c>
      <c r="E30" s="19">
        <v>14.8</v>
      </c>
      <c r="F30" s="19">
        <v>19.7</v>
      </c>
      <c r="G30" s="19">
        <v>21.9</v>
      </c>
      <c r="H30" s="19">
        <v>25.8</v>
      </c>
      <c r="I30" s="19">
        <v>26.9</v>
      </c>
      <c r="J30" s="19">
        <v>23.9</v>
      </c>
      <c r="K30" s="19">
        <v>18.100000000000001</v>
      </c>
      <c r="L30" s="19">
        <v>15.4</v>
      </c>
      <c r="M30" s="19">
        <v>13.1</v>
      </c>
      <c r="O30" s="24">
        <v>2020</v>
      </c>
      <c r="P30" s="19">
        <v>73.8</v>
      </c>
      <c r="Q30" s="19">
        <v>45.6</v>
      </c>
      <c r="R30" s="19">
        <v>32.299999999999997</v>
      </c>
      <c r="S30" s="19">
        <v>52.3</v>
      </c>
      <c r="T30" s="19">
        <v>34.299999999999997</v>
      </c>
      <c r="U30" s="19">
        <v>47.5</v>
      </c>
      <c r="V30" s="19">
        <v>2.7</v>
      </c>
      <c r="W30" s="19">
        <v>146.6</v>
      </c>
      <c r="X30" s="19">
        <v>111.5</v>
      </c>
      <c r="Y30" s="19">
        <v>111</v>
      </c>
      <c r="Z30" s="19">
        <v>9.6999999999999993</v>
      </c>
      <c r="AA30" s="19">
        <v>291.60000000000002</v>
      </c>
    </row>
    <row r="31" spans="1:27" x14ac:dyDescent="0.25">
      <c r="A31" s="24">
        <v>2021</v>
      </c>
      <c r="B31" s="19">
        <v>9.1</v>
      </c>
      <c r="C31" s="19">
        <v>11</v>
      </c>
      <c r="D31" s="19">
        <v>11.2</v>
      </c>
      <c r="E31" s="19">
        <v>13.4</v>
      </c>
      <c r="F31" s="19">
        <v>19.2</v>
      </c>
      <c r="G31" s="19">
        <v>24.5</v>
      </c>
      <c r="H31" s="19">
        <v>26.7</v>
      </c>
      <c r="I31" s="19">
        <v>26.4</v>
      </c>
      <c r="J31" s="19">
        <v>22.5</v>
      </c>
      <c r="K31" s="19">
        <v>17.8</v>
      </c>
      <c r="L31" s="19">
        <v>16.600000000000001</v>
      </c>
      <c r="M31" s="19">
        <v>11</v>
      </c>
      <c r="O31" s="24">
        <v>2021</v>
      </c>
      <c r="P31" s="19">
        <v>251.9</v>
      </c>
      <c r="Q31" s="19">
        <v>103.7</v>
      </c>
      <c r="R31" s="19">
        <v>62.1</v>
      </c>
      <c r="S31" s="19">
        <v>83.4</v>
      </c>
      <c r="T31" s="19">
        <v>45.6</v>
      </c>
      <c r="U31" s="19">
        <v>4.2</v>
      </c>
      <c r="V31" s="19">
        <v>2.1</v>
      </c>
      <c r="W31" s="19">
        <v>112.9</v>
      </c>
      <c r="X31" s="19">
        <v>0.2</v>
      </c>
      <c r="Y31" s="19">
        <v>150.5</v>
      </c>
      <c r="Z31" s="19">
        <v>137.80000000000001</v>
      </c>
      <c r="AA31" s="19">
        <v>146.6</v>
      </c>
    </row>
    <row r="32" spans="1:27" x14ac:dyDescent="0.25">
      <c r="A32" s="24">
        <v>2022</v>
      </c>
      <c r="B32" s="19">
        <v>9.9</v>
      </c>
      <c r="C32" s="19">
        <v>11.3</v>
      </c>
      <c r="D32" s="19">
        <v>10.6</v>
      </c>
      <c r="E32" s="19">
        <v>14.5</v>
      </c>
      <c r="F32" s="19">
        <v>20.6</v>
      </c>
      <c r="G32" s="19">
        <v>26.2</v>
      </c>
      <c r="H32" s="19">
        <v>27.6</v>
      </c>
      <c r="I32" s="19">
        <v>27.3</v>
      </c>
      <c r="J32" s="19">
        <v>22.4</v>
      </c>
      <c r="K32" s="19">
        <v>19.100000000000001</v>
      </c>
      <c r="L32" s="19">
        <v>15.3</v>
      </c>
      <c r="M32" s="19">
        <v>13.1</v>
      </c>
      <c r="O32" s="24">
        <v>2022</v>
      </c>
      <c r="P32" s="19">
        <v>25.1</v>
      </c>
      <c r="Q32" s="19">
        <v>73.900000000000006</v>
      </c>
      <c r="R32" s="19">
        <v>67</v>
      </c>
      <c r="S32" s="19">
        <v>105.9</v>
      </c>
      <c r="T32" s="19">
        <v>15.1</v>
      </c>
      <c r="U32" s="19">
        <v>25.4</v>
      </c>
      <c r="V32" s="19">
        <v>4</v>
      </c>
      <c r="W32" s="19">
        <v>13.8</v>
      </c>
      <c r="X32" s="19">
        <v>134.30000000000001</v>
      </c>
      <c r="Y32" s="19">
        <v>30.5</v>
      </c>
      <c r="Z32" s="19">
        <v>120.2</v>
      </c>
      <c r="AA32" s="19">
        <v>152</v>
      </c>
    </row>
    <row r="33" spans="1:27" x14ac:dyDescent="0.25">
      <c r="A33" s="24">
        <v>2023</v>
      </c>
      <c r="B33" s="19">
        <v>10.9</v>
      </c>
      <c r="C33" s="19">
        <v>9.6999999999999993</v>
      </c>
      <c r="D33" s="19">
        <v>12.7</v>
      </c>
      <c r="E33" s="19">
        <v>14.3</v>
      </c>
      <c r="F33" s="19">
        <v>19.899999999999999</v>
      </c>
      <c r="G33" s="19">
        <v>23.9</v>
      </c>
      <c r="H33" s="19">
        <v>27.8</v>
      </c>
      <c r="I33" s="19">
        <v>26.9</v>
      </c>
      <c r="J33" s="19">
        <v>25</v>
      </c>
      <c r="K33" s="19">
        <v>21.6</v>
      </c>
      <c r="L33" s="19">
        <v>15.4</v>
      </c>
      <c r="M33" s="19">
        <v>12.4</v>
      </c>
      <c r="O33" s="24">
        <v>2023</v>
      </c>
      <c r="P33" s="19">
        <v>121.7</v>
      </c>
      <c r="Q33" s="19">
        <v>24.1</v>
      </c>
      <c r="R33" s="19">
        <v>87.2</v>
      </c>
      <c r="S33" s="19">
        <v>53.4</v>
      </c>
      <c r="T33" s="19">
        <v>133.80000000000001</v>
      </c>
      <c r="U33" s="19">
        <v>57.5</v>
      </c>
      <c r="V33" s="19">
        <v>28.6</v>
      </c>
      <c r="W33" s="19">
        <v>86.8</v>
      </c>
      <c r="X33" s="19">
        <v>31.3</v>
      </c>
      <c r="Y33" s="19">
        <v>33.299999999999997</v>
      </c>
      <c r="Z33" s="19">
        <v>116.5</v>
      </c>
      <c r="AA33" s="19">
        <v>55.6</v>
      </c>
    </row>
    <row r="34" spans="1:27" x14ac:dyDescent="0.25">
      <c r="A34" s="24">
        <v>2024</v>
      </c>
      <c r="B34" s="19">
        <v>11.3</v>
      </c>
      <c r="C34" s="19">
        <v>13.4</v>
      </c>
      <c r="D34" s="19">
        <v>14</v>
      </c>
      <c r="E34" s="19">
        <v>17</v>
      </c>
      <c r="F34" s="19">
        <v>20.399999999999999</v>
      </c>
      <c r="G34" s="19">
        <v>25.7</v>
      </c>
      <c r="H34" s="19">
        <v>28.3</v>
      </c>
      <c r="I34" s="19">
        <v>28.5</v>
      </c>
      <c r="J34" s="19">
        <v>23.1</v>
      </c>
      <c r="K34" s="19">
        <v>20.399999999999999</v>
      </c>
      <c r="L34" s="19">
        <v>14.5</v>
      </c>
      <c r="M34" s="19">
        <v>11.7</v>
      </c>
      <c r="O34" s="24">
        <v>2024</v>
      </c>
      <c r="P34" s="19">
        <v>53.8</v>
      </c>
      <c r="Q34" s="19">
        <v>80.099999999999994</v>
      </c>
      <c r="R34" s="19">
        <v>99</v>
      </c>
      <c r="S34" s="19">
        <v>51.5</v>
      </c>
      <c r="T34" s="19">
        <v>37.5</v>
      </c>
      <c r="U34" s="19">
        <v>34.700000000000003</v>
      </c>
      <c r="V34" s="19">
        <v>34.799999999999997</v>
      </c>
      <c r="W34" s="19">
        <v>36.5</v>
      </c>
      <c r="X34" s="19">
        <v>335.3</v>
      </c>
      <c r="Y34" s="19">
        <v>18.2</v>
      </c>
      <c r="Z34" s="19">
        <v>33.700000000000003</v>
      </c>
      <c r="AA34" s="19">
        <v>168.4</v>
      </c>
    </row>
    <row r="35" spans="1:27" x14ac:dyDescent="0.25">
      <c r="A35" s="24">
        <v>2025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O35" s="24">
        <v>2025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x14ac:dyDescent="0.25">
      <c r="A36" s="24">
        <v>2026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O36" s="24">
        <v>2026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x14ac:dyDescent="0.25">
      <c r="A37" s="24">
        <v>2027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O37" s="24">
        <v>2027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x14ac:dyDescent="0.25">
      <c r="A38" s="24">
        <v>2028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O38" s="24">
        <v>2028</v>
      </c>
    </row>
    <row r="39" spans="1:27" x14ac:dyDescent="0.25">
      <c r="A39" s="24">
        <v>2029</v>
      </c>
      <c r="O39" s="24">
        <v>2029</v>
      </c>
    </row>
    <row r="40" spans="1:27" x14ac:dyDescent="0.25">
      <c r="A40" s="24">
        <v>2030</v>
      </c>
      <c r="O40" s="24">
        <v>2030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A5F6-635F-41FA-9979-2C0C5CCE913C}">
  <dimension ref="A1:AB40"/>
  <sheetViews>
    <sheetView workbookViewId="0">
      <selection activeCell="I22" sqref="I22"/>
    </sheetView>
  </sheetViews>
  <sheetFormatPr defaultRowHeight="15" x14ac:dyDescent="0.25"/>
  <sheetData>
    <row r="1" spans="1:28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8" s="31" customFormat="1" x14ac:dyDescent="0.25">
      <c r="A2" s="30" t="s">
        <v>53</v>
      </c>
      <c r="B2" s="4">
        <f>AVERAGE(B5:B46)</f>
        <v>0.11333333333333336</v>
      </c>
      <c r="C2" s="4">
        <f t="shared" ref="C2:L2" si="0">AVERAGE(C5:C46)</f>
        <v>1.6500000000000001</v>
      </c>
      <c r="D2" s="4">
        <f t="shared" si="0"/>
        <v>4.9466666666666672</v>
      </c>
      <c r="E2" s="4">
        <f t="shared" si="0"/>
        <v>9.4333333333333336</v>
      </c>
      <c r="F2" s="4">
        <f t="shared" si="0"/>
        <v>14.09333333333333</v>
      </c>
      <c r="G2" s="4">
        <f t="shared" si="0"/>
        <v>18.396666666666661</v>
      </c>
      <c r="H2" s="4">
        <f t="shared" si="0"/>
        <v>20.336666666666666</v>
      </c>
      <c r="I2" s="4">
        <f t="shared" si="0"/>
        <v>19.706666666666671</v>
      </c>
      <c r="J2" s="4">
        <f t="shared" si="0"/>
        <v>14.256666666666664</v>
      </c>
      <c r="K2" s="4">
        <f t="shared" si="0"/>
        <v>10.276666666666667</v>
      </c>
      <c r="L2" s="4">
        <f t="shared" si="0"/>
        <v>5.7366666666666664</v>
      </c>
      <c r="M2" s="4">
        <f>AVERAGE(M5:M46)</f>
        <v>1.1866666666666668</v>
      </c>
      <c r="O2" s="30"/>
      <c r="P2" s="4">
        <f>AVERAGE(P5:P46)</f>
        <v>120.03666666666665</v>
      </c>
      <c r="Q2" s="4">
        <f t="shared" ref="Q2:Z2" si="1">AVERAGE(Q5:Q46)</f>
        <v>107.54</v>
      </c>
      <c r="R2" s="4">
        <f t="shared" si="1"/>
        <v>90.200000000000017</v>
      </c>
      <c r="S2" s="4">
        <f t="shared" si="1"/>
        <v>98.26</v>
      </c>
      <c r="T2" s="4">
        <f t="shared" si="1"/>
        <v>116.16</v>
      </c>
      <c r="U2" s="4">
        <f t="shared" si="1"/>
        <v>80.976666666666674</v>
      </c>
      <c r="V2" s="4">
        <f t="shared" si="1"/>
        <v>60.919999999999995</v>
      </c>
      <c r="W2" s="4">
        <f t="shared" si="1"/>
        <v>71.476666666666659</v>
      </c>
      <c r="X2" s="4">
        <f t="shared" si="1"/>
        <v>169.02333333333328</v>
      </c>
      <c r="Y2" s="4">
        <f t="shared" si="1"/>
        <v>144.54000000000002</v>
      </c>
      <c r="Z2" s="4">
        <f t="shared" si="1"/>
        <v>197.21</v>
      </c>
      <c r="AA2" s="4">
        <f>AVERAGE(AA5:AA46)</f>
        <v>161.29999999999998</v>
      </c>
    </row>
    <row r="3" spans="1:28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8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8" x14ac:dyDescent="0.25">
      <c r="A5">
        <v>1995</v>
      </c>
      <c r="B5">
        <v>-1.2</v>
      </c>
      <c r="C5">
        <v>4.0999999999999996</v>
      </c>
      <c r="D5">
        <v>3</v>
      </c>
      <c r="E5">
        <v>8</v>
      </c>
      <c r="F5">
        <v>12.5</v>
      </c>
      <c r="G5">
        <v>15.2</v>
      </c>
      <c r="H5">
        <v>20.2</v>
      </c>
      <c r="I5">
        <v>16.8</v>
      </c>
      <c r="J5">
        <v>12.4</v>
      </c>
      <c r="K5">
        <v>10.1</v>
      </c>
      <c r="L5">
        <v>3.1</v>
      </c>
      <c r="M5">
        <v>0.7</v>
      </c>
      <c r="O5">
        <v>1995</v>
      </c>
      <c r="P5">
        <v>149.4</v>
      </c>
      <c r="Q5">
        <v>146.4</v>
      </c>
      <c r="R5">
        <v>131.19999999999999</v>
      </c>
      <c r="S5">
        <v>67.2</v>
      </c>
      <c r="T5">
        <v>103.3</v>
      </c>
      <c r="U5">
        <v>289.5</v>
      </c>
      <c r="V5">
        <v>36.700000000000003</v>
      </c>
      <c r="W5">
        <v>131</v>
      </c>
      <c r="X5">
        <v>210.1</v>
      </c>
      <c r="Y5">
        <v>16.399999999999999</v>
      </c>
      <c r="Z5">
        <v>168.7</v>
      </c>
      <c r="AA5">
        <v>305</v>
      </c>
      <c r="AB5">
        <f>SUM(P5:AA5)</f>
        <v>1754.9</v>
      </c>
    </row>
    <row r="6" spans="1:28" x14ac:dyDescent="0.25">
      <c r="A6">
        <v>1996</v>
      </c>
      <c r="B6">
        <v>-0.6</v>
      </c>
      <c r="C6">
        <v>-1.6</v>
      </c>
      <c r="D6">
        <v>1.2</v>
      </c>
      <c r="E6">
        <v>8.5</v>
      </c>
      <c r="F6">
        <v>14.4</v>
      </c>
      <c r="G6">
        <v>17</v>
      </c>
      <c r="H6">
        <v>17.600000000000001</v>
      </c>
      <c r="I6">
        <v>17.7</v>
      </c>
      <c r="J6">
        <v>10.5</v>
      </c>
      <c r="K6">
        <v>9.3000000000000007</v>
      </c>
      <c r="L6">
        <v>6.6</v>
      </c>
      <c r="M6">
        <v>-1.9</v>
      </c>
      <c r="O6">
        <v>1996</v>
      </c>
      <c r="P6">
        <v>93.2</v>
      </c>
      <c r="Q6">
        <v>75.8</v>
      </c>
      <c r="R6">
        <v>46.2</v>
      </c>
      <c r="S6">
        <v>96.8</v>
      </c>
      <c r="T6">
        <v>151.1</v>
      </c>
      <c r="U6">
        <v>75.900000000000006</v>
      </c>
      <c r="V6">
        <v>31.9</v>
      </c>
      <c r="W6">
        <v>128</v>
      </c>
      <c r="X6">
        <v>283.2</v>
      </c>
      <c r="Y6">
        <v>138</v>
      </c>
      <c r="Z6">
        <v>237.5</v>
      </c>
      <c r="AA6">
        <v>162.1</v>
      </c>
      <c r="AB6">
        <f t="shared" ref="AB6:AB34" si="2">SUM(P6:AA6)</f>
        <v>1519.6999999999998</v>
      </c>
    </row>
    <row r="7" spans="1:28" x14ac:dyDescent="0.25">
      <c r="A7">
        <v>1997</v>
      </c>
      <c r="B7">
        <v>-0.2</v>
      </c>
      <c r="C7">
        <v>2.7</v>
      </c>
      <c r="D7">
        <v>4.9000000000000004</v>
      </c>
      <c r="E7">
        <v>4.5</v>
      </c>
      <c r="F7">
        <v>13.9</v>
      </c>
      <c r="G7">
        <v>17.8</v>
      </c>
      <c r="H7">
        <v>17.899999999999999</v>
      </c>
      <c r="I7">
        <v>17.100000000000001</v>
      </c>
      <c r="J7">
        <v>13.5</v>
      </c>
      <c r="K7">
        <v>7.2</v>
      </c>
      <c r="L7">
        <v>5.2</v>
      </c>
      <c r="M7">
        <v>1.7</v>
      </c>
      <c r="O7">
        <v>1997</v>
      </c>
      <c r="P7">
        <v>148</v>
      </c>
      <c r="Q7">
        <v>50.6</v>
      </c>
      <c r="R7">
        <v>54.2</v>
      </c>
      <c r="S7">
        <v>108.9</v>
      </c>
      <c r="T7">
        <v>99.8</v>
      </c>
      <c r="U7">
        <v>114.7</v>
      </c>
      <c r="V7">
        <v>106.3</v>
      </c>
      <c r="W7">
        <v>94.5</v>
      </c>
      <c r="X7">
        <v>52.6</v>
      </c>
      <c r="Y7">
        <v>75.7</v>
      </c>
      <c r="Z7">
        <v>350.1</v>
      </c>
      <c r="AA7">
        <v>157.9</v>
      </c>
      <c r="AB7">
        <f t="shared" si="2"/>
        <v>1413.3000000000002</v>
      </c>
    </row>
    <row r="8" spans="1:28" x14ac:dyDescent="0.25">
      <c r="A8">
        <v>1998</v>
      </c>
      <c r="B8">
        <v>1.3</v>
      </c>
      <c r="C8">
        <v>2.4</v>
      </c>
      <c r="D8">
        <v>3.2</v>
      </c>
      <c r="E8">
        <v>9.9</v>
      </c>
      <c r="F8">
        <v>12.8</v>
      </c>
      <c r="G8">
        <v>17.899999999999999</v>
      </c>
      <c r="H8">
        <v>20.3</v>
      </c>
      <c r="I8">
        <v>20.100000000000001</v>
      </c>
      <c r="J8">
        <v>13.7</v>
      </c>
      <c r="K8">
        <v>10.3</v>
      </c>
      <c r="L8">
        <v>2.2000000000000002</v>
      </c>
      <c r="M8">
        <v>-4.8</v>
      </c>
      <c r="O8">
        <v>1998</v>
      </c>
      <c r="P8">
        <v>98.5</v>
      </c>
      <c r="Q8">
        <v>11</v>
      </c>
      <c r="R8">
        <v>19.899999999999999</v>
      </c>
      <c r="S8">
        <v>181.8</v>
      </c>
      <c r="T8">
        <v>126.8</v>
      </c>
      <c r="U8">
        <v>56.3</v>
      </c>
      <c r="V8">
        <v>30</v>
      </c>
      <c r="W8">
        <v>21.3</v>
      </c>
      <c r="X8">
        <v>318.8</v>
      </c>
      <c r="Y8">
        <v>174.3</v>
      </c>
      <c r="Z8">
        <v>120.7</v>
      </c>
      <c r="AA8">
        <v>96.6</v>
      </c>
      <c r="AB8">
        <f t="shared" si="2"/>
        <v>1256</v>
      </c>
    </row>
    <row r="9" spans="1:28" x14ac:dyDescent="0.25">
      <c r="A9">
        <v>1999</v>
      </c>
      <c r="B9" s="13">
        <v>0.2</v>
      </c>
      <c r="C9" s="13">
        <v>-1.1000000000000001</v>
      </c>
      <c r="D9" s="13">
        <v>5.6</v>
      </c>
      <c r="E9" s="13">
        <v>9.1999999999999993</v>
      </c>
      <c r="F9" s="13">
        <v>14.1</v>
      </c>
      <c r="G9" s="13">
        <v>17.399999999999999</v>
      </c>
      <c r="H9" s="13">
        <v>18.8</v>
      </c>
      <c r="I9" s="13">
        <v>19.2</v>
      </c>
      <c r="J9" s="13">
        <v>15.8</v>
      </c>
      <c r="K9" s="13">
        <v>9.9</v>
      </c>
      <c r="L9" s="13">
        <v>1.6</v>
      </c>
      <c r="M9" s="13">
        <v>1.4</v>
      </c>
      <c r="O9">
        <v>1999</v>
      </c>
      <c r="P9" s="11">
        <v>103.5</v>
      </c>
      <c r="Q9" s="11">
        <v>132.80000000000001</v>
      </c>
      <c r="R9" s="11">
        <v>76.099999999999994</v>
      </c>
      <c r="S9" s="11">
        <v>95.9</v>
      </c>
      <c r="T9" s="11">
        <v>133.19999999999999</v>
      </c>
      <c r="U9" s="11">
        <v>71.7</v>
      </c>
      <c r="V9" s="11">
        <v>50.1</v>
      </c>
      <c r="W9" s="11">
        <v>39.1</v>
      </c>
      <c r="X9" s="11">
        <v>91.3</v>
      </c>
      <c r="Y9" s="11">
        <v>147.69999999999999</v>
      </c>
      <c r="Z9" s="11">
        <v>225.9</v>
      </c>
      <c r="AA9" s="11">
        <v>239.4</v>
      </c>
      <c r="AB9">
        <f t="shared" si="2"/>
        <v>1406.7000000000003</v>
      </c>
    </row>
    <row r="10" spans="1:28" x14ac:dyDescent="0.25">
      <c r="A10">
        <v>2000</v>
      </c>
      <c r="B10" s="13">
        <v>-3.1</v>
      </c>
      <c r="C10" s="13">
        <v>1.5</v>
      </c>
      <c r="D10" s="13">
        <v>4.8</v>
      </c>
      <c r="E10" s="13">
        <v>11.3</v>
      </c>
      <c r="F10" s="13">
        <v>15</v>
      </c>
      <c r="G10" s="13">
        <v>18.600000000000001</v>
      </c>
      <c r="H10" s="13">
        <v>18.5</v>
      </c>
      <c r="I10" s="13">
        <v>20.3</v>
      </c>
      <c r="J10" s="13">
        <v>14.1</v>
      </c>
      <c r="K10" s="13">
        <v>12</v>
      </c>
      <c r="L10" s="13">
        <v>9.3000000000000007</v>
      </c>
      <c r="M10" s="13">
        <v>3.9</v>
      </c>
      <c r="O10">
        <v>2000</v>
      </c>
      <c r="P10" s="11">
        <v>39.4</v>
      </c>
      <c r="Q10" s="11">
        <v>46.4</v>
      </c>
      <c r="R10" s="11">
        <v>114.6</v>
      </c>
      <c r="S10" s="11">
        <v>75.099999999999994</v>
      </c>
      <c r="T10" s="11">
        <v>89.3</v>
      </c>
      <c r="U10" s="11">
        <v>33.1</v>
      </c>
      <c r="V10" s="11">
        <v>89.1</v>
      </c>
      <c r="W10" s="11">
        <v>3.9</v>
      </c>
      <c r="X10" s="11">
        <v>185.7</v>
      </c>
      <c r="Y10" s="11">
        <v>188.3</v>
      </c>
      <c r="Z10" s="11">
        <v>274.89999999999998</v>
      </c>
      <c r="AA10" s="11">
        <v>227.8</v>
      </c>
      <c r="AB10">
        <f t="shared" si="2"/>
        <v>1367.5999999999997</v>
      </c>
    </row>
    <row r="11" spans="1:28" x14ac:dyDescent="0.25">
      <c r="A11">
        <v>2001</v>
      </c>
      <c r="B11" s="13">
        <v>2.8</v>
      </c>
      <c r="C11" s="13">
        <v>1.9</v>
      </c>
      <c r="D11" s="13">
        <v>9</v>
      </c>
      <c r="E11" s="13">
        <v>8.1999999999999993</v>
      </c>
      <c r="F11" s="13">
        <v>15.2</v>
      </c>
      <c r="G11" s="13">
        <v>16.399999999999999</v>
      </c>
      <c r="H11" s="13">
        <v>19.899999999999999</v>
      </c>
      <c r="I11" s="13">
        <v>20.8</v>
      </c>
      <c r="J11" s="13">
        <v>12.1</v>
      </c>
      <c r="K11" s="13">
        <v>11.7</v>
      </c>
      <c r="L11" s="13">
        <v>1.9</v>
      </c>
      <c r="M11" s="13">
        <v>-3.2</v>
      </c>
      <c r="O11">
        <v>2001</v>
      </c>
      <c r="P11" s="11">
        <v>156.9</v>
      </c>
      <c r="Q11" s="11">
        <v>40.9</v>
      </c>
      <c r="R11" s="11">
        <v>206.4</v>
      </c>
      <c r="S11" s="11">
        <v>91.7</v>
      </c>
      <c r="T11" s="11">
        <v>73.099999999999994</v>
      </c>
      <c r="U11" s="11">
        <v>81.599999999999994</v>
      </c>
      <c r="V11" s="11">
        <v>17.399999999999999</v>
      </c>
      <c r="W11" s="11">
        <v>29.1</v>
      </c>
      <c r="X11" s="11">
        <v>190</v>
      </c>
      <c r="Y11" s="11">
        <v>54.8</v>
      </c>
      <c r="Z11" s="11">
        <v>172.4</v>
      </c>
      <c r="AA11" s="11">
        <v>91.7</v>
      </c>
      <c r="AB11">
        <f t="shared" si="2"/>
        <v>1206</v>
      </c>
    </row>
    <row r="12" spans="1:28" x14ac:dyDescent="0.25">
      <c r="A12">
        <v>2002</v>
      </c>
      <c r="B12" s="14">
        <v>-3.7</v>
      </c>
      <c r="C12" s="14">
        <v>3.9</v>
      </c>
      <c r="D12" s="14">
        <v>6.9</v>
      </c>
      <c r="E12" s="14">
        <v>7.6</v>
      </c>
      <c r="F12" s="14">
        <v>15</v>
      </c>
      <c r="G12" s="14">
        <v>18.5</v>
      </c>
      <c r="H12" s="14">
        <v>19.2</v>
      </c>
      <c r="I12" s="14">
        <v>18.100000000000001</v>
      </c>
      <c r="J12" s="14">
        <v>12.4</v>
      </c>
      <c r="K12" s="14">
        <v>10.3</v>
      </c>
      <c r="L12" s="14">
        <v>9.3000000000000007</v>
      </c>
      <c r="M12" s="14">
        <v>1.6</v>
      </c>
      <c r="O12">
        <v>2002</v>
      </c>
      <c r="P12" s="12">
        <v>24</v>
      </c>
      <c r="Q12" s="12">
        <v>164</v>
      </c>
      <c r="R12" s="12">
        <v>28</v>
      </c>
      <c r="S12" s="12">
        <v>208</v>
      </c>
      <c r="T12" s="12">
        <v>308.10000000000002</v>
      </c>
      <c r="U12" s="12">
        <v>85</v>
      </c>
      <c r="V12" s="12">
        <v>111</v>
      </c>
      <c r="W12" s="12">
        <v>158</v>
      </c>
      <c r="X12" s="12">
        <v>308</v>
      </c>
      <c r="Y12" s="12">
        <v>173</v>
      </c>
      <c r="Z12" s="12">
        <v>194</v>
      </c>
      <c r="AA12" s="12">
        <v>107</v>
      </c>
      <c r="AB12">
        <f t="shared" si="2"/>
        <v>1868.1</v>
      </c>
    </row>
    <row r="13" spans="1:28" x14ac:dyDescent="0.25">
      <c r="A13">
        <v>2003</v>
      </c>
      <c r="B13" s="14">
        <v>-1.9</v>
      </c>
      <c r="C13" s="14">
        <v>-3.7</v>
      </c>
      <c r="D13" s="14">
        <v>3.9</v>
      </c>
      <c r="E13" s="14">
        <v>8.1</v>
      </c>
      <c r="F13" s="14">
        <v>16.3</v>
      </c>
      <c r="G13" s="14">
        <v>21.5</v>
      </c>
      <c r="H13" s="14">
        <v>21.2</v>
      </c>
      <c r="I13" s="14">
        <v>22.9</v>
      </c>
      <c r="J13" s="14">
        <v>13.4</v>
      </c>
      <c r="K13" s="14">
        <v>8</v>
      </c>
      <c r="L13" s="14">
        <v>7</v>
      </c>
      <c r="M13" s="14">
        <v>0.8</v>
      </c>
      <c r="O13">
        <v>2003</v>
      </c>
      <c r="P13" s="12">
        <v>160.30000000000001</v>
      </c>
      <c r="Q13" s="12">
        <v>37</v>
      </c>
      <c r="R13" s="12">
        <v>8.1999999999999993</v>
      </c>
      <c r="S13" s="12">
        <v>50.8</v>
      </c>
      <c r="T13" s="12">
        <v>39.700000000000003</v>
      </c>
      <c r="U13" s="12">
        <v>44.2</v>
      </c>
      <c r="V13" s="12">
        <v>25</v>
      </c>
      <c r="W13" s="12">
        <v>7.6</v>
      </c>
      <c r="X13" s="12">
        <v>131.80000000000001</v>
      </c>
      <c r="Y13" s="12">
        <v>350.4</v>
      </c>
      <c r="Z13" s="12">
        <v>162.6</v>
      </c>
      <c r="AA13" s="12">
        <v>79.8</v>
      </c>
      <c r="AB13">
        <f t="shared" si="2"/>
        <v>1097.4000000000001</v>
      </c>
    </row>
    <row r="14" spans="1:28" x14ac:dyDescent="0.25">
      <c r="A14">
        <v>2004</v>
      </c>
      <c r="B14" s="13">
        <v>-2</v>
      </c>
      <c r="C14" s="13">
        <v>0.9</v>
      </c>
      <c r="D14" s="13">
        <v>2.1</v>
      </c>
      <c r="E14" s="13">
        <v>9</v>
      </c>
      <c r="F14" s="13">
        <v>11.8</v>
      </c>
      <c r="G14" s="13">
        <v>17.2</v>
      </c>
      <c r="H14" s="13">
        <v>19.5</v>
      </c>
      <c r="I14" s="13">
        <v>19.2</v>
      </c>
      <c r="J14" s="13">
        <v>13.7</v>
      </c>
      <c r="K14" s="13">
        <v>12.9</v>
      </c>
      <c r="L14" s="13">
        <v>5.2</v>
      </c>
      <c r="M14" s="13">
        <v>1.3</v>
      </c>
      <c r="O14">
        <v>2004</v>
      </c>
      <c r="P14" s="11">
        <v>105.2</v>
      </c>
      <c r="Q14" s="11">
        <v>149.30000000000001</v>
      </c>
      <c r="R14" s="11">
        <v>127</v>
      </c>
      <c r="S14" s="11">
        <v>161.30000000000001</v>
      </c>
      <c r="T14" s="11">
        <v>73.599999999999994</v>
      </c>
      <c r="U14" s="11">
        <v>80.400000000000006</v>
      </c>
      <c r="V14" s="11">
        <v>29.2</v>
      </c>
      <c r="W14" s="11">
        <v>44.4</v>
      </c>
      <c r="X14" s="11">
        <v>79.400000000000006</v>
      </c>
      <c r="Y14" s="11">
        <v>161.69999999999999</v>
      </c>
      <c r="Z14" s="11">
        <v>152.69999999999999</v>
      </c>
      <c r="AA14" s="11">
        <v>192.1</v>
      </c>
      <c r="AB14">
        <f t="shared" si="2"/>
        <v>1356.3</v>
      </c>
    </row>
    <row r="15" spans="1:28" x14ac:dyDescent="0.25">
      <c r="A15">
        <v>2005</v>
      </c>
      <c r="B15" s="13">
        <v>-1.9</v>
      </c>
      <c r="C15" s="13">
        <v>-3.6</v>
      </c>
      <c r="D15" s="13">
        <v>1.7</v>
      </c>
      <c r="E15" s="13">
        <v>8.4</v>
      </c>
      <c r="F15" s="13">
        <v>14.2</v>
      </c>
      <c r="G15" s="13">
        <v>17.7</v>
      </c>
      <c r="H15" s="13">
        <v>20</v>
      </c>
      <c r="I15" s="13">
        <v>16.7</v>
      </c>
      <c r="J15" s="13">
        <v>14.5</v>
      </c>
      <c r="K15" s="13">
        <v>9.9</v>
      </c>
      <c r="L15" s="13">
        <v>4.4000000000000004</v>
      </c>
      <c r="M15" s="13">
        <v>0</v>
      </c>
      <c r="O15">
        <v>2005</v>
      </c>
      <c r="P15" s="11">
        <v>36.4</v>
      </c>
      <c r="Q15" s="11">
        <v>110.1</v>
      </c>
      <c r="R15" s="11">
        <v>82.9</v>
      </c>
      <c r="S15" s="11">
        <v>127.7</v>
      </c>
      <c r="T15" s="11">
        <v>108.4</v>
      </c>
      <c r="U15" s="11">
        <v>16.3</v>
      </c>
      <c r="V15" s="11">
        <v>77.2</v>
      </c>
      <c r="W15" s="11">
        <v>156.4</v>
      </c>
      <c r="X15" s="11">
        <v>152.1</v>
      </c>
      <c r="Y15" s="11">
        <v>121.1</v>
      </c>
      <c r="Z15" s="11">
        <v>183.6</v>
      </c>
      <c r="AA15" s="11">
        <v>240.1</v>
      </c>
      <c r="AB15">
        <f t="shared" si="2"/>
        <v>1412.3</v>
      </c>
    </row>
    <row r="16" spans="1:28" x14ac:dyDescent="0.25">
      <c r="A16">
        <v>2006</v>
      </c>
      <c r="B16" s="13">
        <v>-2.6</v>
      </c>
      <c r="C16" s="13">
        <v>-0.2</v>
      </c>
      <c r="D16" s="13">
        <v>3</v>
      </c>
      <c r="E16" s="13">
        <v>9.6</v>
      </c>
      <c r="F16" s="13">
        <v>13.7</v>
      </c>
      <c r="G16" s="13">
        <v>17.5</v>
      </c>
      <c r="H16" s="13">
        <v>20.3</v>
      </c>
      <c r="I16" s="13">
        <v>16.899999999999999</v>
      </c>
      <c r="J16" s="13">
        <v>15.1</v>
      </c>
      <c r="K16" s="13">
        <v>11.4</v>
      </c>
      <c r="L16" s="13">
        <v>6.5</v>
      </c>
      <c r="M16" s="13">
        <v>3</v>
      </c>
      <c r="O16">
        <v>2006</v>
      </c>
      <c r="P16" s="11">
        <v>99.7</v>
      </c>
      <c r="Q16" s="11">
        <v>94.4</v>
      </c>
      <c r="R16" s="11">
        <v>100.4</v>
      </c>
      <c r="S16" s="11">
        <v>114.2</v>
      </c>
      <c r="T16" s="11">
        <v>76.7</v>
      </c>
      <c r="U16" s="11">
        <v>60.1</v>
      </c>
      <c r="V16" s="11">
        <v>41.5</v>
      </c>
      <c r="W16" s="11">
        <v>215.4</v>
      </c>
      <c r="X16" s="11">
        <v>173.6</v>
      </c>
      <c r="Y16" s="11">
        <v>52.9</v>
      </c>
      <c r="Z16" s="11">
        <v>110.2</v>
      </c>
      <c r="AA16" s="11">
        <v>64.099999999999994</v>
      </c>
      <c r="AB16">
        <f t="shared" si="2"/>
        <v>1203.2</v>
      </c>
    </row>
    <row r="17" spans="1:28" x14ac:dyDescent="0.25">
      <c r="A17">
        <v>2007</v>
      </c>
      <c r="B17" s="13">
        <v>4</v>
      </c>
      <c r="C17" s="13">
        <v>5.0999999999999996</v>
      </c>
      <c r="D17" s="13">
        <v>6.4</v>
      </c>
      <c r="E17" s="13">
        <v>11.6</v>
      </c>
      <c r="F17" s="13">
        <v>15.1</v>
      </c>
      <c r="G17" s="13">
        <v>19.3</v>
      </c>
      <c r="H17" s="13">
        <v>20.6</v>
      </c>
      <c r="I17" s="13">
        <v>19.3</v>
      </c>
      <c r="J17" s="13">
        <v>12</v>
      </c>
      <c r="K17" s="13">
        <v>7.7</v>
      </c>
      <c r="L17" s="13">
        <v>3.2</v>
      </c>
      <c r="M17" s="13">
        <v>-1</v>
      </c>
      <c r="O17">
        <v>2007</v>
      </c>
      <c r="P17" s="11">
        <v>125.7</v>
      </c>
      <c r="Q17" s="11">
        <v>66.900000000000006</v>
      </c>
      <c r="R17" s="11">
        <v>106.5</v>
      </c>
      <c r="S17" s="11">
        <v>4.9000000000000004</v>
      </c>
      <c r="T17" s="11">
        <v>102.5</v>
      </c>
      <c r="U17" s="11">
        <v>103.1</v>
      </c>
      <c r="V17" s="11">
        <v>55.9</v>
      </c>
      <c r="W17" s="11">
        <v>127</v>
      </c>
      <c r="X17" s="11">
        <v>151.80000000000001</v>
      </c>
      <c r="Y17" s="11">
        <v>95.7</v>
      </c>
      <c r="Z17" s="11">
        <v>89.1</v>
      </c>
      <c r="AA17" s="11">
        <v>80.3</v>
      </c>
      <c r="AB17">
        <f t="shared" si="2"/>
        <v>1109.3999999999999</v>
      </c>
    </row>
    <row r="18" spans="1:28" x14ac:dyDescent="0.25">
      <c r="A18">
        <v>2008</v>
      </c>
      <c r="B18" s="13">
        <v>2.5</v>
      </c>
      <c r="C18" s="13">
        <v>2.8</v>
      </c>
      <c r="D18" s="13">
        <v>5</v>
      </c>
      <c r="E18" s="13">
        <v>9.4</v>
      </c>
      <c r="F18" s="13">
        <v>14.6</v>
      </c>
      <c r="G18" s="13">
        <v>18.5</v>
      </c>
      <c r="H18" s="13">
        <v>20.3</v>
      </c>
      <c r="I18" s="13">
        <v>19.899999999999999</v>
      </c>
      <c r="J18" s="13">
        <v>13</v>
      </c>
      <c r="K18" s="13">
        <v>11.1</v>
      </c>
      <c r="L18" s="13">
        <v>5.9</v>
      </c>
      <c r="M18" s="13">
        <v>1.9</v>
      </c>
      <c r="O18">
        <v>2008</v>
      </c>
      <c r="P18" s="11">
        <v>81.3</v>
      </c>
      <c r="Q18" s="11">
        <v>39.4</v>
      </c>
      <c r="R18" s="11">
        <v>192.1</v>
      </c>
      <c r="S18" s="11">
        <v>96.8</v>
      </c>
      <c r="T18" s="11">
        <v>112.4</v>
      </c>
      <c r="U18" s="11">
        <v>95.7</v>
      </c>
      <c r="V18" s="11">
        <v>19.899999999999999</v>
      </c>
      <c r="W18" s="11">
        <v>44.3</v>
      </c>
      <c r="X18" s="11">
        <v>31.5</v>
      </c>
      <c r="Y18" s="11">
        <v>144.5</v>
      </c>
      <c r="Z18" s="11">
        <v>196.7</v>
      </c>
      <c r="AA18" s="11">
        <v>269.10000000000002</v>
      </c>
      <c r="AB18">
        <f t="shared" si="2"/>
        <v>1323.6999999999998</v>
      </c>
    </row>
    <row r="19" spans="1:28" x14ac:dyDescent="0.25">
      <c r="A19">
        <v>2009</v>
      </c>
      <c r="B19" s="13">
        <v>-2.4</v>
      </c>
      <c r="C19" s="13">
        <v>1.2</v>
      </c>
      <c r="D19" s="13">
        <v>4.8</v>
      </c>
      <c r="E19" s="13">
        <v>10.8</v>
      </c>
      <c r="F19" s="13">
        <v>16.100000000000001</v>
      </c>
      <c r="G19" s="13">
        <v>17.100000000000001</v>
      </c>
      <c r="H19" s="13">
        <v>20.6</v>
      </c>
      <c r="I19" s="13">
        <v>20.5</v>
      </c>
      <c r="J19" s="13">
        <v>16</v>
      </c>
      <c r="K19" s="13">
        <v>8.6</v>
      </c>
      <c r="L19" s="13">
        <v>6.9</v>
      </c>
      <c r="M19" s="13">
        <v>1.7</v>
      </c>
      <c r="O19">
        <v>2009</v>
      </c>
      <c r="P19" s="11">
        <v>166.3</v>
      </c>
      <c r="Q19" s="11">
        <v>144.5</v>
      </c>
      <c r="R19" s="11">
        <v>91.9</v>
      </c>
      <c r="S19" s="11">
        <v>132.1</v>
      </c>
      <c r="T19" s="11">
        <v>41.9</v>
      </c>
      <c r="U19" s="11">
        <v>91.1</v>
      </c>
      <c r="V19" s="11">
        <v>38.299999999999997</v>
      </c>
      <c r="W19" s="11">
        <v>50.2</v>
      </c>
      <c r="X19" s="11">
        <v>82.6</v>
      </c>
      <c r="Y19" s="11">
        <v>220</v>
      </c>
      <c r="Z19" s="11">
        <v>118.6</v>
      </c>
      <c r="AA19" s="11">
        <v>255.6</v>
      </c>
      <c r="AB19">
        <f t="shared" si="2"/>
        <v>1433.1</v>
      </c>
    </row>
    <row r="20" spans="1:28" x14ac:dyDescent="0.25">
      <c r="A20">
        <v>2010</v>
      </c>
      <c r="B20" s="13">
        <v>-2.1</v>
      </c>
      <c r="C20" s="13">
        <v>0.7</v>
      </c>
      <c r="D20" s="13">
        <v>4.2</v>
      </c>
      <c r="E20" s="13">
        <v>9.5</v>
      </c>
      <c r="F20" s="13">
        <v>13.4</v>
      </c>
      <c r="G20" s="13">
        <v>17.899999999999999</v>
      </c>
      <c r="H20" s="13">
        <v>20.6</v>
      </c>
      <c r="I20" s="13">
        <v>19.100000000000001</v>
      </c>
      <c r="J20" s="13">
        <v>13.4</v>
      </c>
      <c r="K20" s="13">
        <v>7.8</v>
      </c>
      <c r="L20" s="13">
        <v>7.9</v>
      </c>
      <c r="M20" s="13">
        <v>0</v>
      </c>
      <c r="O20">
        <v>2010</v>
      </c>
      <c r="P20" s="11">
        <v>307.60000000000002</v>
      </c>
      <c r="Q20" s="11">
        <v>158.6</v>
      </c>
      <c r="R20" s="11">
        <v>88.5</v>
      </c>
      <c r="S20" s="11">
        <v>70.7</v>
      </c>
      <c r="T20" s="11">
        <v>127.3</v>
      </c>
      <c r="U20" s="11">
        <v>98.4</v>
      </c>
      <c r="V20" s="11">
        <v>38.6</v>
      </c>
      <c r="W20" s="11">
        <v>49.6</v>
      </c>
      <c r="X20" s="11">
        <v>199.2</v>
      </c>
      <c r="Y20" s="11">
        <v>47.3</v>
      </c>
      <c r="Z20" s="11">
        <v>387.6</v>
      </c>
      <c r="AA20" s="11">
        <v>216.4</v>
      </c>
      <c r="AB20">
        <f t="shared" si="2"/>
        <v>1789.8000000000002</v>
      </c>
    </row>
    <row r="21" spans="1:28" x14ac:dyDescent="0.25">
      <c r="A21">
        <v>2011</v>
      </c>
      <c r="B21" s="13">
        <v>-0.1</v>
      </c>
      <c r="C21" s="13">
        <v>0.2</v>
      </c>
      <c r="D21" s="13">
        <v>4.4000000000000004</v>
      </c>
      <c r="E21" s="13">
        <v>10.6</v>
      </c>
      <c r="F21" s="13">
        <v>14.2</v>
      </c>
      <c r="G21" s="13">
        <v>18.399999999999999</v>
      </c>
      <c r="H21" s="13">
        <v>19.7</v>
      </c>
      <c r="I21" s="13">
        <v>20.7</v>
      </c>
      <c r="J21" s="13">
        <v>17.600000000000001</v>
      </c>
      <c r="K21" s="13">
        <v>8.9</v>
      </c>
      <c r="L21" s="13">
        <v>2.5</v>
      </c>
      <c r="M21" s="13">
        <v>2.4</v>
      </c>
      <c r="O21">
        <v>2011</v>
      </c>
      <c r="P21" s="11">
        <v>28.3</v>
      </c>
      <c r="Q21" s="11">
        <v>18</v>
      </c>
      <c r="R21" s="11">
        <v>59.9</v>
      </c>
      <c r="S21" s="11">
        <v>41.1</v>
      </c>
      <c r="T21" s="11">
        <v>48.9</v>
      </c>
      <c r="U21" s="11">
        <v>57.6</v>
      </c>
      <c r="V21" s="11">
        <v>94.4</v>
      </c>
      <c r="W21" s="11">
        <v>10.1</v>
      </c>
      <c r="X21" s="11">
        <v>25.4</v>
      </c>
      <c r="Y21" s="11">
        <v>118.3</v>
      </c>
      <c r="Z21" s="11">
        <v>13.9</v>
      </c>
      <c r="AA21" s="11">
        <v>167.4</v>
      </c>
      <c r="AB21">
        <f t="shared" si="2"/>
        <v>683.3</v>
      </c>
    </row>
    <row r="22" spans="1:28" x14ac:dyDescent="0.25">
      <c r="A22">
        <v>2012</v>
      </c>
      <c r="B22" s="13">
        <v>-0.1</v>
      </c>
      <c r="C22" s="13">
        <v>-5</v>
      </c>
      <c r="D22" s="13">
        <v>7.3</v>
      </c>
      <c r="E22" s="13">
        <v>9.8000000000000007</v>
      </c>
      <c r="F22" s="13">
        <v>13.4</v>
      </c>
      <c r="G22" s="13">
        <v>20.2</v>
      </c>
      <c r="H22" s="13">
        <v>21.9</v>
      </c>
      <c r="I22" s="13">
        <v>21.3</v>
      </c>
      <c r="J22" s="13">
        <v>15.7</v>
      </c>
      <c r="K22" s="13">
        <v>10.199999999999999</v>
      </c>
      <c r="L22" s="13">
        <v>8.6</v>
      </c>
      <c r="M22" s="13">
        <v>0.4</v>
      </c>
      <c r="O22">
        <v>2012</v>
      </c>
      <c r="P22" s="11">
        <v>27.2</v>
      </c>
      <c r="Q22" s="11">
        <v>58.3</v>
      </c>
      <c r="R22" s="11">
        <v>0.9</v>
      </c>
      <c r="S22" s="11">
        <v>116.3</v>
      </c>
      <c r="T22" s="11">
        <v>101.8</v>
      </c>
      <c r="U22" s="11">
        <v>89.3</v>
      </c>
      <c r="V22" s="11">
        <v>25.9</v>
      </c>
      <c r="W22" s="11">
        <v>8</v>
      </c>
      <c r="X22" s="11">
        <v>185.1</v>
      </c>
      <c r="Y22" s="11">
        <v>202.9</v>
      </c>
      <c r="Z22" s="11">
        <v>277.2</v>
      </c>
      <c r="AA22" s="11">
        <v>183.2</v>
      </c>
      <c r="AB22">
        <f t="shared" si="2"/>
        <v>1276.0999999999999</v>
      </c>
    </row>
    <row r="23" spans="1:28" x14ac:dyDescent="0.25">
      <c r="A23">
        <v>2013</v>
      </c>
      <c r="B23" s="13">
        <v>1.2</v>
      </c>
      <c r="C23" s="13">
        <v>-0.1</v>
      </c>
      <c r="D23" s="13">
        <v>3.6</v>
      </c>
      <c r="E23" s="13">
        <v>10.6</v>
      </c>
      <c r="F23" s="13">
        <v>13</v>
      </c>
      <c r="G23" s="13">
        <v>17.399999999999999</v>
      </c>
      <c r="H23" s="13">
        <v>20.6</v>
      </c>
      <c r="I23" s="13">
        <v>20.6</v>
      </c>
      <c r="J23" s="13">
        <v>14</v>
      </c>
      <c r="K23" s="13">
        <v>11.4</v>
      </c>
      <c r="L23" s="13">
        <v>5.8</v>
      </c>
      <c r="M23" s="13">
        <v>1.9</v>
      </c>
      <c r="O23">
        <v>2013</v>
      </c>
      <c r="P23" s="11">
        <v>234.6</v>
      </c>
      <c r="Q23" s="11">
        <v>177</v>
      </c>
      <c r="R23" s="11">
        <v>164.3</v>
      </c>
      <c r="S23" s="11">
        <v>115.5</v>
      </c>
      <c r="T23" s="11">
        <v>160.6</v>
      </c>
      <c r="U23" s="11">
        <v>97.2</v>
      </c>
      <c r="V23" s="11">
        <v>5.6</v>
      </c>
      <c r="W23" s="11">
        <v>50.7</v>
      </c>
      <c r="X23" s="11">
        <v>153.30000000000001</v>
      </c>
      <c r="Y23" s="11">
        <v>175.1</v>
      </c>
      <c r="Z23" s="11">
        <v>236.9</v>
      </c>
      <c r="AA23" s="11">
        <v>28.7</v>
      </c>
      <c r="AB23">
        <f t="shared" si="2"/>
        <v>1599.5000000000002</v>
      </c>
    </row>
    <row r="24" spans="1:28" x14ac:dyDescent="0.25">
      <c r="A24">
        <v>2014</v>
      </c>
      <c r="B24" s="13">
        <v>4.9000000000000004</v>
      </c>
      <c r="C24" s="13">
        <v>5.4</v>
      </c>
      <c r="D24" s="13">
        <v>7</v>
      </c>
      <c r="E24" s="13">
        <v>10.5</v>
      </c>
      <c r="F24" s="13">
        <v>12.9</v>
      </c>
      <c r="G24" s="13">
        <v>17.7</v>
      </c>
      <c r="H24" s="13">
        <v>18.600000000000001</v>
      </c>
      <c r="I24" s="13">
        <v>18.3</v>
      </c>
      <c r="J24" s="13">
        <v>13.7</v>
      </c>
      <c r="K24" s="13">
        <v>11.2</v>
      </c>
      <c r="L24" s="13">
        <v>8.5</v>
      </c>
      <c r="M24" s="13">
        <v>2.5</v>
      </c>
      <c r="O24">
        <v>2014</v>
      </c>
      <c r="P24" s="11">
        <v>147.1</v>
      </c>
      <c r="Q24" s="11">
        <v>252.8</v>
      </c>
      <c r="R24" s="11">
        <v>77.400000000000006</v>
      </c>
      <c r="S24" s="11">
        <v>152.5</v>
      </c>
      <c r="T24" s="11">
        <v>97.7</v>
      </c>
      <c r="U24" s="11">
        <v>75</v>
      </c>
      <c r="V24" s="11">
        <v>264.10000000000002</v>
      </c>
      <c r="W24" s="11">
        <v>61.7</v>
      </c>
      <c r="X24" s="11">
        <v>323.10000000000002</v>
      </c>
      <c r="Y24" s="11">
        <v>122.7</v>
      </c>
      <c r="Z24" s="11">
        <v>165.5</v>
      </c>
      <c r="AA24" s="11">
        <v>126.7</v>
      </c>
      <c r="AB24">
        <f t="shared" si="2"/>
        <v>1866.3000000000002</v>
      </c>
    </row>
    <row r="25" spans="1:28" x14ac:dyDescent="0.25">
      <c r="A25">
        <v>2015</v>
      </c>
      <c r="B25" s="13">
        <v>2.2999999999999998</v>
      </c>
      <c r="C25" s="13">
        <v>-0.1</v>
      </c>
      <c r="D25" s="13">
        <v>5.2</v>
      </c>
      <c r="E25" s="13">
        <v>9</v>
      </c>
      <c r="F25" s="13">
        <v>15.1</v>
      </c>
      <c r="G25" s="13">
        <v>18</v>
      </c>
      <c r="H25" s="13">
        <v>22.4</v>
      </c>
      <c r="I25" s="13">
        <v>20.399999999999999</v>
      </c>
      <c r="J25" s="13">
        <v>15</v>
      </c>
      <c r="K25" s="13">
        <v>9.6999999999999993</v>
      </c>
      <c r="L25" s="13">
        <v>5</v>
      </c>
      <c r="M25" s="13">
        <v>0</v>
      </c>
      <c r="O25">
        <v>2015</v>
      </c>
      <c r="P25" s="11">
        <v>139.1</v>
      </c>
      <c r="Q25" s="11">
        <v>183.7</v>
      </c>
      <c r="R25" s="11">
        <v>60.4</v>
      </c>
      <c r="S25" s="11">
        <v>48</v>
      </c>
      <c r="T25" s="11">
        <v>118.5</v>
      </c>
      <c r="U25" s="11">
        <v>54.6</v>
      </c>
      <c r="V25" s="11">
        <v>31</v>
      </c>
      <c r="W25" s="11">
        <v>84</v>
      </c>
      <c r="X25" s="11">
        <v>146.1</v>
      </c>
      <c r="Y25" s="11">
        <v>350.1</v>
      </c>
      <c r="Z25" s="11">
        <v>90.8</v>
      </c>
      <c r="AA25" s="11">
        <v>0.1</v>
      </c>
      <c r="AB25">
        <f t="shared" si="2"/>
        <v>1306.3999999999999</v>
      </c>
    </row>
    <row r="26" spans="1:28" x14ac:dyDescent="0.25">
      <c r="A26">
        <v>2016</v>
      </c>
      <c r="B26" s="7">
        <v>1.6</v>
      </c>
      <c r="C26" s="7">
        <v>5.6</v>
      </c>
      <c r="D26" s="7">
        <v>5.2</v>
      </c>
      <c r="E26" s="7">
        <v>10.7</v>
      </c>
      <c r="F26" s="7">
        <v>13.2</v>
      </c>
      <c r="G26" s="7">
        <v>18.2</v>
      </c>
      <c r="H26" s="7">
        <v>21.1</v>
      </c>
      <c r="I26" s="7">
        <v>18.600000000000001</v>
      </c>
      <c r="J26" s="7">
        <v>14.9</v>
      </c>
      <c r="K26" s="7">
        <v>9.1999999999999993</v>
      </c>
      <c r="L26" s="7">
        <v>6.4</v>
      </c>
      <c r="M26" s="7">
        <v>-0.9</v>
      </c>
      <c r="O26">
        <v>2016</v>
      </c>
      <c r="P26" s="16">
        <v>147.5</v>
      </c>
      <c r="Q26" s="16">
        <v>283.3</v>
      </c>
      <c r="R26" s="16">
        <v>109.2</v>
      </c>
      <c r="S26" s="16">
        <v>73.099999999999994</v>
      </c>
      <c r="T26" s="16">
        <v>202.7</v>
      </c>
      <c r="U26" s="16">
        <v>126.2</v>
      </c>
      <c r="V26" s="16">
        <v>23.9</v>
      </c>
      <c r="W26" s="16">
        <v>70.8</v>
      </c>
      <c r="X26" s="16">
        <v>78.900000000000006</v>
      </c>
      <c r="Y26" s="16">
        <v>178.4</v>
      </c>
      <c r="Z26" s="16">
        <v>275.8</v>
      </c>
      <c r="AA26" s="16">
        <v>0.9</v>
      </c>
      <c r="AB26">
        <f t="shared" si="2"/>
        <v>1570.7000000000003</v>
      </c>
    </row>
    <row r="27" spans="1:28" x14ac:dyDescent="0.25">
      <c r="A27">
        <v>2017</v>
      </c>
      <c r="B27" s="7">
        <v>-5</v>
      </c>
      <c r="C27" s="7">
        <v>3.8</v>
      </c>
      <c r="D27" s="7">
        <v>7.5</v>
      </c>
      <c r="E27" s="7">
        <v>9.3000000000000007</v>
      </c>
      <c r="F27" s="7">
        <v>14.5</v>
      </c>
      <c r="G27" s="7">
        <v>20.2</v>
      </c>
      <c r="H27" s="7">
        <v>21.4</v>
      </c>
      <c r="I27" s="7">
        <v>21.6</v>
      </c>
      <c r="J27" s="7">
        <v>13.1</v>
      </c>
      <c r="K27" s="7">
        <v>9.3000000000000007</v>
      </c>
      <c r="L27" s="7">
        <v>5.0999999999999996</v>
      </c>
      <c r="M27" s="7">
        <v>1.4</v>
      </c>
      <c r="O27">
        <v>2017</v>
      </c>
      <c r="P27" s="16">
        <v>89.1</v>
      </c>
      <c r="Q27" s="16">
        <v>104.1</v>
      </c>
      <c r="R27" s="16">
        <v>95.2</v>
      </c>
      <c r="S27" s="16">
        <v>100.2</v>
      </c>
      <c r="T27" s="16">
        <v>70.2</v>
      </c>
      <c r="U27" s="16">
        <v>17.899999999999999</v>
      </c>
      <c r="V27" s="16">
        <v>61</v>
      </c>
      <c r="W27" s="16">
        <v>13.1</v>
      </c>
      <c r="X27" s="16">
        <v>434.2</v>
      </c>
      <c r="Y27" s="16">
        <v>49.2</v>
      </c>
      <c r="Z27" s="16">
        <v>219.8</v>
      </c>
      <c r="AA27" s="16">
        <v>236</v>
      </c>
      <c r="AB27">
        <f t="shared" si="2"/>
        <v>1490</v>
      </c>
    </row>
    <row r="28" spans="1:28" x14ac:dyDescent="0.25">
      <c r="A28">
        <v>2018</v>
      </c>
      <c r="B28" s="13">
        <v>4.2</v>
      </c>
      <c r="C28" s="13">
        <v>-2.5</v>
      </c>
      <c r="D28" s="13">
        <v>3.3</v>
      </c>
      <c r="E28" s="13">
        <v>13.2</v>
      </c>
      <c r="F28" s="13">
        <v>15.5</v>
      </c>
      <c r="G28" s="13">
        <v>18</v>
      </c>
      <c r="H28" s="13">
        <v>20.5</v>
      </c>
      <c r="I28" s="13">
        <v>20.5</v>
      </c>
      <c r="J28" s="13">
        <v>15.2</v>
      </c>
      <c r="K28" s="13">
        <v>11.9</v>
      </c>
      <c r="L28" s="13">
        <v>5.9</v>
      </c>
      <c r="M28" s="13">
        <v>1</v>
      </c>
      <c r="O28">
        <v>2018</v>
      </c>
      <c r="P28" s="11">
        <v>145.1</v>
      </c>
      <c r="Q28" s="11">
        <v>206.8</v>
      </c>
      <c r="R28" s="11">
        <v>239.5</v>
      </c>
      <c r="S28" s="11">
        <v>74.400000000000006</v>
      </c>
      <c r="T28" s="11">
        <v>148.4</v>
      </c>
      <c r="U28" s="11">
        <v>95.1</v>
      </c>
      <c r="V28" s="11">
        <v>32.700000000000003</v>
      </c>
      <c r="W28" s="11">
        <v>79.5</v>
      </c>
      <c r="X28" s="11">
        <v>66.8</v>
      </c>
      <c r="Y28" s="11">
        <v>138.80000000000001</v>
      </c>
      <c r="Z28" s="11">
        <v>125</v>
      </c>
      <c r="AA28" s="11">
        <v>86.2</v>
      </c>
      <c r="AB28">
        <f t="shared" si="2"/>
        <v>1438.3</v>
      </c>
    </row>
    <row r="29" spans="1:28" x14ac:dyDescent="0.25">
      <c r="A29">
        <v>2019</v>
      </c>
      <c r="B29" s="13">
        <v>-0.9</v>
      </c>
      <c r="C29" s="13">
        <v>3.5</v>
      </c>
      <c r="D29" s="13">
        <v>7.3</v>
      </c>
      <c r="E29" s="13">
        <v>10</v>
      </c>
      <c r="F29" s="13">
        <v>10.9</v>
      </c>
      <c r="G29" s="13">
        <v>21.1</v>
      </c>
      <c r="H29" s="13">
        <v>20.9</v>
      </c>
      <c r="I29" s="13">
        <v>20.5</v>
      </c>
      <c r="J29" s="13">
        <v>15</v>
      </c>
      <c r="K29" s="13">
        <v>10.9</v>
      </c>
      <c r="L29" s="13">
        <v>9.1999999999999993</v>
      </c>
      <c r="M29" s="13">
        <v>3.7</v>
      </c>
      <c r="O29">
        <v>2019</v>
      </c>
      <c r="P29" s="11">
        <v>105.6</v>
      </c>
      <c r="Q29" s="11">
        <v>75.2</v>
      </c>
      <c r="R29" s="11">
        <v>57.8</v>
      </c>
      <c r="S29" s="11">
        <v>137.4</v>
      </c>
      <c r="T29" s="11">
        <v>193.9</v>
      </c>
      <c r="U29" s="11">
        <v>51.3</v>
      </c>
      <c r="V29" s="11">
        <v>88.9</v>
      </c>
      <c r="W29" s="11">
        <v>79.8</v>
      </c>
      <c r="X29" s="11">
        <v>121.3</v>
      </c>
      <c r="Y29" s="11">
        <v>55.5</v>
      </c>
      <c r="Z29" s="11">
        <v>419.5</v>
      </c>
      <c r="AA29" s="11">
        <v>162.19999999999999</v>
      </c>
      <c r="AB29">
        <f t="shared" si="2"/>
        <v>1548.3999999999999</v>
      </c>
    </row>
    <row r="30" spans="1:28" x14ac:dyDescent="0.25">
      <c r="A30">
        <v>2020</v>
      </c>
      <c r="B30" s="13">
        <v>0.9</v>
      </c>
      <c r="C30" s="13">
        <v>5.4</v>
      </c>
      <c r="D30" s="13">
        <v>5.2</v>
      </c>
      <c r="E30" s="13">
        <v>10.5</v>
      </c>
      <c r="F30" s="13">
        <v>13.6</v>
      </c>
      <c r="G30" s="13">
        <v>17.7</v>
      </c>
      <c r="H30" s="13">
        <v>19.8</v>
      </c>
      <c r="I30" s="13">
        <v>20.8</v>
      </c>
      <c r="J30" s="13">
        <v>15.5</v>
      </c>
      <c r="K30" s="13">
        <v>10.3</v>
      </c>
      <c r="L30" s="13">
        <v>4.2</v>
      </c>
      <c r="M30" s="13">
        <v>2.9</v>
      </c>
      <c r="O30">
        <v>2020</v>
      </c>
      <c r="P30" s="11">
        <v>24</v>
      </c>
      <c r="Q30" s="11">
        <v>57.8</v>
      </c>
      <c r="R30" s="11">
        <v>64.599999999999994</v>
      </c>
      <c r="S30" s="11">
        <v>20.9</v>
      </c>
      <c r="T30" s="11">
        <v>52.2</v>
      </c>
      <c r="U30" s="11">
        <v>88.5</v>
      </c>
      <c r="V30" s="11">
        <v>62.8</v>
      </c>
      <c r="W30" s="11">
        <v>71.400000000000006</v>
      </c>
      <c r="X30" s="11">
        <v>194.8</v>
      </c>
      <c r="Y30" s="11">
        <v>259.8</v>
      </c>
      <c r="Z30" s="11">
        <v>48.1</v>
      </c>
      <c r="AA30" s="11">
        <v>270.2</v>
      </c>
      <c r="AB30">
        <f t="shared" si="2"/>
        <v>1215.0999999999999</v>
      </c>
    </row>
    <row r="31" spans="1:28" x14ac:dyDescent="0.25">
      <c r="A31">
        <v>2021</v>
      </c>
      <c r="B31" s="13">
        <v>0.6</v>
      </c>
      <c r="C31" s="13">
        <v>4.4000000000000004</v>
      </c>
      <c r="D31" s="13">
        <v>4.2</v>
      </c>
      <c r="E31" s="13">
        <v>7</v>
      </c>
      <c r="F31" s="13">
        <v>13.4</v>
      </c>
      <c r="G31" s="13">
        <v>20.5</v>
      </c>
      <c r="H31" s="13">
        <v>21.6</v>
      </c>
      <c r="I31" s="13">
        <v>19.399999999999999</v>
      </c>
      <c r="J31" s="13">
        <v>15.2</v>
      </c>
      <c r="K31" s="13">
        <v>7.9</v>
      </c>
      <c r="L31" s="13">
        <v>6.2</v>
      </c>
      <c r="M31" s="13">
        <v>3.2</v>
      </c>
      <c r="O31">
        <v>2021</v>
      </c>
      <c r="P31" s="11">
        <v>257.39999999999998</v>
      </c>
      <c r="Q31" s="11">
        <v>94.3</v>
      </c>
      <c r="R31" s="11">
        <v>54.9</v>
      </c>
      <c r="S31" s="11">
        <v>100.4</v>
      </c>
      <c r="T31" s="11">
        <v>63.6</v>
      </c>
      <c r="U31" s="11">
        <v>16.3</v>
      </c>
      <c r="V31" s="11">
        <v>110.6</v>
      </c>
      <c r="W31" s="11">
        <v>76.599999999999994</v>
      </c>
      <c r="X31" s="11">
        <v>62.7</v>
      </c>
      <c r="Y31" s="11">
        <v>92.3</v>
      </c>
      <c r="Z31" s="11">
        <v>240.5</v>
      </c>
      <c r="AA31" s="11">
        <v>198.1</v>
      </c>
      <c r="AB31">
        <f t="shared" si="2"/>
        <v>1367.6999999999998</v>
      </c>
    </row>
    <row r="32" spans="1:28" x14ac:dyDescent="0.25">
      <c r="A32">
        <v>2022</v>
      </c>
      <c r="B32" s="13">
        <v>0</v>
      </c>
      <c r="C32" s="13">
        <v>3.2</v>
      </c>
      <c r="D32" s="13">
        <v>3.5</v>
      </c>
      <c r="E32" s="13">
        <v>8.6999999999999993</v>
      </c>
      <c r="F32" s="13">
        <v>16</v>
      </c>
      <c r="G32" s="13">
        <v>21.1</v>
      </c>
      <c r="H32" s="13">
        <v>21.7</v>
      </c>
      <c r="I32" s="13">
        <v>20.5</v>
      </c>
      <c r="J32" s="13">
        <v>14.7</v>
      </c>
      <c r="K32" s="13">
        <v>12.5</v>
      </c>
      <c r="L32" s="13">
        <v>6</v>
      </c>
      <c r="M32" s="13">
        <v>5.3</v>
      </c>
      <c r="O32">
        <v>2022</v>
      </c>
      <c r="P32" s="11">
        <v>52.5</v>
      </c>
      <c r="Q32" s="11">
        <v>63.1</v>
      </c>
      <c r="R32" s="11">
        <v>16.2</v>
      </c>
      <c r="S32" s="11">
        <v>90.1</v>
      </c>
      <c r="T32" s="11">
        <v>82.7</v>
      </c>
      <c r="U32" s="11">
        <v>24.2</v>
      </c>
      <c r="V32" s="11">
        <v>67.7</v>
      </c>
      <c r="W32" s="11">
        <v>21.9</v>
      </c>
      <c r="X32" s="11">
        <v>222.7</v>
      </c>
      <c r="Y32" s="11">
        <v>19.399999999999999</v>
      </c>
      <c r="Z32" s="11">
        <v>250</v>
      </c>
      <c r="AA32" s="11">
        <v>338.9</v>
      </c>
      <c r="AB32">
        <f t="shared" si="2"/>
        <v>1249.3999999999999</v>
      </c>
    </row>
    <row r="33" spans="1:28" x14ac:dyDescent="0.25">
      <c r="A33">
        <v>2023</v>
      </c>
      <c r="B33" s="13">
        <v>2.7</v>
      </c>
      <c r="C33" s="13">
        <v>1.6</v>
      </c>
      <c r="D33" s="13">
        <v>6.5</v>
      </c>
      <c r="E33" s="13">
        <v>8.1999999999999993</v>
      </c>
      <c r="F33" s="13">
        <v>14</v>
      </c>
      <c r="G33" s="13">
        <v>18.399999999999999</v>
      </c>
      <c r="H33" s="13">
        <v>22</v>
      </c>
      <c r="I33" s="13">
        <v>20.2</v>
      </c>
      <c r="J33" s="13">
        <v>17.100000000000001</v>
      </c>
      <c r="K33" s="13">
        <v>14.1</v>
      </c>
      <c r="L33" s="13">
        <v>7.7</v>
      </c>
      <c r="M33" s="13">
        <v>5</v>
      </c>
      <c r="O33">
        <v>2023</v>
      </c>
      <c r="P33" s="11">
        <v>179.1</v>
      </c>
      <c r="Q33" s="11">
        <v>106.5</v>
      </c>
      <c r="R33" s="11">
        <v>78.400000000000006</v>
      </c>
      <c r="S33" s="11">
        <v>118.8</v>
      </c>
      <c r="T33" s="11">
        <v>236.5</v>
      </c>
      <c r="U33" s="11">
        <v>87.1</v>
      </c>
      <c r="V33" s="11">
        <v>94.6</v>
      </c>
      <c r="W33" s="11">
        <v>153.19999999999999</v>
      </c>
      <c r="X33" s="11">
        <v>60.9</v>
      </c>
      <c r="Y33" s="11">
        <v>171.2</v>
      </c>
      <c r="Z33" s="11">
        <v>283.5</v>
      </c>
      <c r="AA33" s="11">
        <v>99.1</v>
      </c>
      <c r="AB33">
        <f t="shared" si="2"/>
        <v>1668.9</v>
      </c>
    </row>
    <row r="34" spans="1:28" x14ac:dyDescent="0.25">
      <c r="A34">
        <v>2024</v>
      </c>
      <c r="B34">
        <v>2</v>
      </c>
      <c r="C34">
        <v>7.1</v>
      </c>
      <c r="D34">
        <v>8.5</v>
      </c>
      <c r="E34">
        <v>11.3</v>
      </c>
      <c r="F34">
        <v>15</v>
      </c>
      <c r="G34">
        <v>19.5</v>
      </c>
      <c r="H34">
        <v>22.4</v>
      </c>
      <c r="I34">
        <v>23.2</v>
      </c>
      <c r="J34">
        <v>15.4</v>
      </c>
      <c r="K34">
        <v>12.6</v>
      </c>
      <c r="L34">
        <v>4.8</v>
      </c>
      <c r="M34">
        <v>-0.30000000000000004</v>
      </c>
      <c r="O34">
        <v>2024</v>
      </c>
      <c r="P34">
        <v>129.1</v>
      </c>
      <c r="Q34">
        <v>77.2</v>
      </c>
      <c r="R34">
        <v>153.19999999999999</v>
      </c>
      <c r="S34">
        <v>75.2</v>
      </c>
      <c r="T34">
        <v>139.9</v>
      </c>
      <c r="U34">
        <v>151.9</v>
      </c>
      <c r="V34">
        <v>66.3</v>
      </c>
      <c r="W34">
        <v>63.7</v>
      </c>
      <c r="X34">
        <v>353.7</v>
      </c>
      <c r="Y34">
        <v>240.7</v>
      </c>
      <c r="Z34">
        <v>124.5</v>
      </c>
      <c r="AA34">
        <v>156.30000000000001</v>
      </c>
      <c r="AB34">
        <f t="shared" si="2"/>
        <v>1731.7</v>
      </c>
    </row>
    <row r="35" spans="1:28" x14ac:dyDescent="0.25">
      <c r="A35">
        <v>2025</v>
      </c>
      <c r="O35">
        <v>2025</v>
      </c>
      <c r="AB35">
        <f>AVERAGE(AB4:AB34)</f>
        <v>1417.6433333333332</v>
      </c>
    </row>
    <row r="36" spans="1:28" x14ac:dyDescent="0.25">
      <c r="A36">
        <v>2026</v>
      </c>
      <c r="O36">
        <v>2026</v>
      </c>
    </row>
    <row r="37" spans="1:28" x14ac:dyDescent="0.25">
      <c r="A37">
        <v>2027</v>
      </c>
      <c r="O37">
        <v>2027</v>
      </c>
    </row>
    <row r="38" spans="1:28" x14ac:dyDescent="0.25">
      <c r="A38">
        <v>2028</v>
      </c>
      <c r="O38">
        <v>2028</v>
      </c>
    </row>
    <row r="39" spans="1:28" x14ac:dyDescent="0.25">
      <c r="A39">
        <v>2029</v>
      </c>
      <c r="O39">
        <v>2029</v>
      </c>
    </row>
    <row r="40" spans="1:28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AA92-0EA2-421E-AB53-F54FD8891F18}">
  <dimension ref="A1:AA40"/>
  <sheetViews>
    <sheetView workbookViewId="0">
      <selection activeCell="R41" sqref="A1:XFD1048576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9.3433333333333337</v>
      </c>
      <c r="C2" s="4">
        <f t="shared" ref="C2:L2" si="0">AVERAGE(C5:C46)</f>
        <v>9.7766666666666673</v>
      </c>
      <c r="D2" s="4">
        <f t="shared" si="0"/>
        <v>11.723333333333334</v>
      </c>
      <c r="E2" s="4">
        <f t="shared" si="0"/>
        <v>14.876666666666667</v>
      </c>
      <c r="F2" s="4">
        <f t="shared" si="0"/>
        <v>19.383333333333333</v>
      </c>
      <c r="G2" s="4">
        <f t="shared" si="0"/>
        <v>23.446666666666665</v>
      </c>
      <c r="H2" s="4">
        <f t="shared" si="0"/>
        <v>26.046666666666667</v>
      </c>
      <c r="I2" s="4">
        <f t="shared" si="0"/>
        <v>26.153333333333325</v>
      </c>
      <c r="J2" s="4">
        <f t="shared" si="0"/>
        <v>22.136666666666667</v>
      </c>
      <c r="K2" s="4">
        <f t="shared" si="0"/>
        <v>18.260000000000002</v>
      </c>
      <c r="L2" s="4">
        <f t="shared" si="0"/>
        <v>14.349999999999998</v>
      </c>
      <c r="M2" s="4">
        <f>AVERAGE(M5:M46)</f>
        <v>10.806666666666668</v>
      </c>
      <c r="O2" s="30"/>
      <c r="P2" s="4">
        <f>AVERAGE(P5:P46)</f>
        <v>68.150000000000006</v>
      </c>
      <c r="Q2" s="4">
        <f t="shared" ref="Q2:Z2" si="1">AVERAGE(Q5:Q46)</f>
        <v>61.493333333333332</v>
      </c>
      <c r="R2" s="4">
        <f t="shared" si="1"/>
        <v>60.926666666666669</v>
      </c>
      <c r="S2" s="4">
        <f t="shared" si="1"/>
        <v>55.463333333333317</v>
      </c>
      <c r="T2" s="4">
        <f t="shared" si="1"/>
        <v>49.78</v>
      </c>
      <c r="U2" s="4">
        <f t="shared" si="1"/>
        <v>37.306666666666665</v>
      </c>
      <c r="V2" s="4">
        <f t="shared" si="1"/>
        <v>20.303333333333327</v>
      </c>
      <c r="W2" s="4">
        <f t="shared" si="1"/>
        <v>40.89</v>
      </c>
      <c r="X2" s="4">
        <f t="shared" si="1"/>
        <v>71.906666666666652</v>
      </c>
      <c r="Y2" s="4">
        <f t="shared" si="1"/>
        <v>75.369999999999976</v>
      </c>
      <c r="Z2" s="4">
        <f t="shared" si="1"/>
        <v>113.78666666666668</v>
      </c>
      <c r="AA2" s="4">
        <f>AVERAGE(AA5:AA46)</f>
        <v>106.03333333333333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8.1</v>
      </c>
      <c r="C5" s="2">
        <v>11.1</v>
      </c>
      <c r="D5" s="2">
        <v>10.1</v>
      </c>
      <c r="E5" s="2">
        <v>13</v>
      </c>
      <c r="F5" s="2">
        <v>17.8</v>
      </c>
      <c r="G5" s="2">
        <v>21.5</v>
      </c>
      <c r="H5" s="2">
        <v>26.3</v>
      </c>
      <c r="I5" s="2">
        <v>23.9</v>
      </c>
      <c r="J5" s="2">
        <v>20.2</v>
      </c>
      <c r="K5" s="2">
        <v>18.5</v>
      </c>
      <c r="L5" s="2">
        <v>11.4</v>
      </c>
      <c r="M5" s="2">
        <v>11.6</v>
      </c>
      <c r="O5">
        <v>1995</v>
      </c>
      <c r="P5" s="2">
        <v>42.5</v>
      </c>
      <c r="Q5" s="2">
        <v>36.299999999999997</v>
      </c>
      <c r="R5" s="2">
        <v>90.6</v>
      </c>
      <c r="S5" s="2">
        <v>83.7</v>
      </c>
      <c r="T5" s="2">
        <v>70.2</v>
      </c>
      <c r="U5" s="2">
        <v>56.9</v>
      </c>
      <c r="V5" s="2">
        <v>8.6</v>
      </c>
      <c r="W5" s="2">
        <v>86.5</v>
      </c>
      <c r="X5" s="2">
        <v>113.2</v>
      </c>
      <c r="Y5" s="2">
        <v>22.8</v>
      </c>
      <c r="Z5" s="2">
        <v>69.400000000000006</v>
      </c>
      <c r="AA5" s="2">
        <v>163.30000000000001</v>
      </c>
    </row>
    <row r="6" spans="1:27" x14ac:dyDescent="0.25">
      <c r="A6">
        <v>1996</v>
      </c>
      <c r="B6" s="2">
        <v>9.8000000000000007</v>
      </c>
      <c r="C6" s="2">
        <v>7.6</v>
      </c>
      <c r="D6" s="2">
        <v>9.3000000000000007</v>
      </c>
      <c r="E6" s="2">
        <v>14.2</v>
      </c>
      <c r="F6" s="2">
        <v>18.7</v>
      </c>
      <c r="G6" s="2">
        <v>23.1</v>
      </c>
      <c r="H6" s="2">
        <v>24.4</v>
      </c>
      <c r="I6" s="2">
        <v>24.2</v>
      </c>
      <c r="J6" s="2">
        <v>18.399999999999999</v>
      </c>
      <c r="K6" s="2">
        <v>17</v>
      </c>
      <c r="L6" s="2">
        <v>14.1</v>
      </c>
      <c r="M6" s="2">
        <v>9.9</v>
      </c>
      <c r="O6">
        <v>1996</v>
      </c>
      <c r="P6" s="2">
        <v>132.1</v>
      </c>
      <c r="Q6" s="2">
        <v>110.5</v>
      </c>
      <c r="R6" s="2">
        <v>73.900000000000006</v>
      </c>
      <c r="S6" s="2">
        <v>20.399999999999999</v>
      </c>
      <c r="T6" s="2">
        <v>71.099999999999994</v>
      </c>
      <c r="U6" s="2">
        <v>17.399999999999999</v>
      </c>
      <c r="V6" s="2">
        <v>3.8</v>
      </c>
      <c r="W6" s="2">
        <v>150.5</v>
      </c>
      <c r="X6" s="2">
        <v>197.3</v>
      </c>
      <c r="Y6" s="2">
        <v>21.5</v>
      </c>
      <c r="Z6" s="2">
        <v>141.9</v>
      </c>
      <c r="AA6" s="2">
        <v>91.5</v>
      </c>
    </row>
    <row r="7" spans="1:27" x14ac:dyDescent="0.25">
      <c r="A7">
        <v>1997</v>
      </c>
      <c r="B7" s="16">
        <v>10.4</v>
      </c>
      <c r="C7" s="16">
        <v>9.6999999999999993</v>
      </c>
      <c r="D7" s="16">
        <v>11.7</v>
      </c>
      <c r="E7" s="16">
        <v>11.2</v>
      </c>
      <c r="F7" s="16">
        <v>18.7</v>
      </c>
      <c r="G7" s="16">
        <v>23.1</v>
      </c>
      <c r="H7" s="16">
        <v>24.7</v>
      </c>
      <c r="I7" s="16">
        <v>24.6</v>
      </c>
      <c r="J7" s="16">
        <v>22.5</v>
      </c>
      <c r="K7" s="16">
        <v>16.3</v>
      </c>
      <c r="L7" s="16">
        <v>14.1</v>
      </c>
      <c r="M7" s="16">
        <v>10.7</v>
      </c>
      <c r="O7">
        <v>1997</v>
      </c>
      <c r="P7" s="2">
        <v>37.5</v>
      </c>
      <c r="Q7" s="2">
        <v>36.799999999999997</v>
      </c>
      <c r="R7" s="2">
        <v>9</v>
      </c>
      <c r="S7" s="2">
        <v>71.599999999999994</v>
      </c>
      <c r="T7" s="2">
        <v>24.1</v>
      </c>
      <c r="U7" s="2">
        <v>10.6</v>
      </c>
      <c r="V7" s="2">
        <v>21.9</v>
      </c>
      <c r="W7" s="2">
        <v>6.8</v>
      </c>
      <c r="X7" s="2">
        <v>13.8</v>
      </c>
      <c r="Y7" s="2">
        <v>62.8</v>
      </c>
      <c r="Z7" s="2">
        <v>196.7</v>
      </c>
      <c r="AA7" s="2">
        <v>167.3</v>
      </c>
    </row>
    <row r="8" spans="1:27" x14ac:dyDescent="0.25">
      <c r="A8">
        <v>1998</v>
      </c>
      <c r="B8" s="16">
        <v>10</v>
      </c>
      <c r="C8" s="16">
        <v>11.3</v>
      </c>
      <c r="D8" s="16">
        <v>10.1</v>
      </c>
      <c r="E8" s="16">
        <v>14.6</v>
      </c>
      <c r="F8" s="16">
        <v>18.3</v>
      </c>
      <c r="G8" s="16">
        <v>23.5</v>
      </c>
      <c r="H8" s="16">
        <v>26.4</v>
      </c>
      <c r="I8" s="16">
        <v>26.6</v>
      </c>
      <c r="J8" s="16">
        <v>21.6</v>
      </c>
      <c r="K8" s="16">
        <v>18.3</v>
      </c>
      <c r="L8" s="16">
        <v>11.7</v>
      </c>
      <c r="M8" s="16">
        <v>8.3000000000000007</v>
      </c>
      <c r="O8">
        <v>1998</v>
      </c>
      <c r="P8" s="2">
        <v>47.7</v>
      </c>
      <c r="Q8" s="2">
        <v>20.100000000000001</v>
      </c>
      <c r="R8" s="2">
        <v>4.2</v>
      </c>
      <c r="S8" s="2">
        <v>50.1</v>
      </c>
      <c r="T8" s="2">
        <v>104.6</v>
      </c>
      <c r="U8" s="2">
        <v>23.7</v>
      </c>
      <c r="V8" s="2">
        <v>11.9</v>
      </c>
      <c r="W8" s="2">
        <v>79.5</v>
      </c>
      <c r="X8" s="2">
        <v>70.8</v>
      </c>
      <c r="Y8" s="2">
        <v>33</v>
      </c>
      <c r="Z8" s="2">
        <v>127.2</v>
      </c>
      <c r="AA8" s="2">
        <v>101.7</v>
      </c>
    </row>
    <row r="9" spans="1:27" x14ac:dyDescent="0.25">
      <c r="A9">
        <v>1999</v>
      </c>
      <c r="B9" s="16">
        <v>9.1</v>
      </c>
      <c r="C9" s="16">
        <v>7.7</v>
      </c>
      <c r="D9" s="16">
        <v>11.5</v>
      </c>
      <c r="E9" s="16">
        <v>14.4</v>
      </c>
      <c r="F9" s="16">
        <v>19.600000000000001</v>
      </c>
      <c r="G9" s="16">
        <v>23.7</v>
      </c>
      <c r="H9" s="16">
        <v>25.3</v>
      </c>
      <c r="I9" s="16">
        <v>25.8</v>
      </c>
      <c r="J9" s="16">
        <v>22.7</v>
      </c>
      <c r="K9" s="16">
        <v>18.600000000000001</v>
      </c>
      <c r="L9" s="16">
        <v>13.2</v>
      </c>
      <c r="M9" s="16">
        <v>10.6</v>
      </c>
      <c r="O9">
        <v>1999</v>
      </c>
      <c r="P9" s="16">
        <v>63.5</v>
      </c>
      <c r="Q9" s="16">
        <v>41.1</v>
      </c>
      <c r="R9" s="16">
        <v>49.7</v>
      </c>
      <c r="S9" s="16">
        <v>74.400000000000006</v>
      </c>
      <c r="T9" s="16">
        <v>37.5</v>
      </c>
      <c r="U9" s="16">
        <v>42.7</v>
      </c>
      <c r="V9" s="16">
        <v>62.5</v>
      </c>
      <c r="W9" s="16">
        <v>62.1</v>
      </c>
      <c r="X9" s="16">
        <v>60.1</v>
      </c>
      <c r="Y9" s="16">
        <v>53</v>
      </c>
      <c r="Z9" s="16">
        <v>67.2</v>
      </c>
      <c r="AA9" s="16">
        <v>63</v>
      </c>
    </row>
    <row r="10" spans="1:27" x14ac:dyDescent="0.25">
      <c r="A10">
        <v>2000</v>
      </c>
      <c r="B10" s="16">
        <v>7.5</v>
      </c>
      <c r="C10" s="16">
        <v>9.1</v>
      </c>
      <c r="D10" s="16">
        <v>11</v>
      </c>
      <c r="E10" s="16">
        <v>15.8</v>
      </c>
      <c r="F10" s="16">
        <v>21.1</v>
      </c>
      <c r="G10" s="16">
        <v>24.5</v>
      </c>
      <c r="H10" s="16">
        <v>24.8</v>
      </c>
      <c r="I10" s="16">
        <v>25.8</v>
      </c>
      <c r="J10" s="16">
        <v>21.5</v>
      </c>
      <c r="K10" s="16">
        <v>19.100000000000001</v>
      </c>
      <c r="L10" s="16">
        <v>16.100000000000001</v>
      </c>
      <c r="M10" s="16">
        <v>12.2</v>
      </c>
      <c r="O10">
        <v>2000</v>
      </c>
      <c r="P10" s="16">
        <v>37.6</v>
      </c>
      <c r="Q10" s="16">
        <v>19.399999999999999</v>
      </c>
      <c r="R10" s="16">
        <v>18.5</v>
      </c>
      <c r="S10" s="16">
        <v>60.2</v>
      </c>
      <c r="T10" s="16">
        <v>1.7</v>
      </c>
      <c r="U10" s="16">
        <v>5.7</v>
      </c>
      <c r="V10" s="16">
        <v>88.3</v>
      </c>
      <c r="W10" s="16">
        <v>0</v>
      </c>
      <c r="X10" s="16">
        <v>34.5</v>
      </c>
      <c r="Y10" s="16">
        <v>84.4</v>
      </c>
      <c r="Z10" s="16">
        <v>196.8</v>
      </c>
      <c r="AA10" s="16">
        <v>76</v>
      </c>
    </row>
    <row r="11" spans="1:27" x14ac:dyDescent="0.25">
      <c r="A11">
        <v>2001</v>
      </c>
      <c r="B11" s="16">
        <v>11.1</v>
      </c>
      <c r="C11" s="16">
        <v>10.5</v>
      </c>
      <c r="D11" s="16">
        <v>14.4</v>
      </c>
      <c r="E11" s="16">
        <v>13.8</v>
      </c>
      <c r="F11" s="16">
        <v>19.899999999999999</v>
      </c>
      <c r="G11" s="16">
        <v>21.9</v>
      </c>
      <c r="H11" s="16">
        <v>25.8</v>
      </c>
      <c r="I11" s="16">
        <v>26.4</v>
      </c>
      <c r="J11" s="16">
        <v>19.7</v>
      </c>
      <c r="K11" s="16">
        <v>19.2</v>
      </c>
      <c r="L11" s="16">
        <v>12.9</v>
      </c>
      <c r="M11" s="16">
        <v>7.2</v>
      </c>
      <c r="O11">
        <v>2001</v>
      </c>
      <c r="P11" s="16">
        <v>140.69999999999999</v>
      </c>
      <c r="Q11" s="16">
        <v>41.7</v>
      </c>
      <c r="R11" s="16">
        <v>56.7</v>
      </c>
      <c r="S11" s="16">
        <v>60.2</v>
      </c>
      <c r="T11" s="16">
        <v>35.5</v>
      </c>
      <c r="U11" s="16">
        <v>32.799999999999997</v>
      </c>
      <c r="V11" s="16">
        <v>6.5</v>
      </c>
      <c r="W11" s="16">
        <v>13.7</v>
      </c>
      <c r="X11" s="16">
        <v>103.2</v>
      </c>
      <c r="Y11" s="16">
        <v>13.8</v>
      </c>
      <c r="Z11" s="16">
        <v>87</v>
      </c>
      <c r="AA11" s="16">
        <v>75</v>
      </c>
    </row>
    <row r="12" spans="1:27" x14ac:dyDescent="0.25">
      <c r="A12">
        <v>2002</v>
      </c>
      <c r="B12" s="17">
        <v>7.7</v>
      </c>
      <c r="C12" s="17">
        <v>11.5</v>
      </c>
      <c r="D12" s="17">
        <v>13.4</v>
      </c>
      <c r="E12" s="17">
        <v>14.9</v>
      </c>
      <c r="F12" s="17">
        <v>19.600000000000001</v>
      </c>
      <c r="G12" s="17">
        <v>24.1</v>
      </c>
      <c r="H12" s="17">
        <v>26</v>
      </c>
      <c r="I12" s="17">
        <v>24.6</v>
      </c>
      <c r="J12" s="17">
        <v>20.7</v>
      </c>
      <c r="K12" s="17">
        <v>18.100000000000001</v>
      </c>
      <c r="L12" s="17">
        <v>15.3</v>
      </c>
      <c r="M12" s="17">
        <v>11</v>
      </c>
      <c r="O12">
        <v>2002</v>
      </c>
      <c r="P12" s="17">
        <v>47</v>
      </c>
      <c r="Q12" s="17">
        <v>39</v>
      </c>
      <c r="R12" s="17">
        <v>11</v>
      </c>
      <c r="S12" s="17">
        <v>31</v>
      </c>
      <c r="T12" s="17">
        <v>68</v>
      </c>
      <c r="U12" s="17">
        <v>9</v>
      </c>
      <c r="V12" s="17">
        <v>25</v>
      </c>
      <c r="W12" s="17">
        <v>219</v>
      </c>
      <c r="X12" s="17">
        <v>92</v>
      </c>
      <c r="Y12" s="17">
        <v>68</v>
      </c>
      <c r="Z12" s="17">
        <v>23</v>
      </c>
      <c r="AA12" s="17">
        <v>183</v>
      </c>
    </row>
    <row r="13" spans="1:27" x14ac:dyDescent="0.25">
      <c r="A13">
        <v>2003</v>
      </c>
      <c r="B13" s="17">
        <v>9.9</v>
      </c>
      <c r="C13" s="17">
        <v>6</v>
      </c>
      <c r="D13" s="17">
        <v>11.1</v>
      </c>
      <c r="E13" s="17">
        <v>14.3</v>
      </c>
      <c r="F13" s="17">
        <v>21.2</v>
      </c>
      <c r="G13" s="17">
        <v>26.5</v>
      </c>
      <c r="H13" s="17">
        <v>27.2</v>
      </c>
      <c r="I13" s="17">
        <v>28</v>
      </c>
      <c r="J13" s="17">
        <v>21.3</v>
      </c>
      <c r="K13" s="17">
        <v>17</v>
      </c>
      <c r="L13" s="17">
        <v>15.2</v>
      </c>
      <c r="M13" s="17">
        <v>11</v>
      </c>
      <c r="O13">
        <v>2003</v>
      </c>
      <c r="P13" s="17">
        <v>94.5</v>
      </c>
      <c r="Q13" s="17">
        <v>20.5</v>
      </c>
      <c r="R13" s="17">
        <v>6.3</v>
      </c>
      <c r="S13" s="17">
        <v>77.7</v>
      </c>
      <c r="T13" s="17">
        <v>7.7</v>
      </c>
      <c r="U13" s="17">
        <v>11</v>
      </c>
      <c r="V13" s="17">
        <v>8.6999999999999993</v>
      </c>
      <c r="W13" s="17">
        <v>29.3</v>
      </c>
      <c r="X13" s="17">
        <v>41.5</v>
      </c>
      <c r="Y13" s="17">
        <v>81.900000000000006</v>
      </c>
      <c r="Z13" s="17">
        <v>17.2</v>
      </c>
      <c r="AA13" s="17">
        <v>65.099999999999994</v>
      </c>
    </row>
    <row r="14" spans="1:27" x14ac:dyDescent="0.25">
      <c r="A14">
        <v>2004</v>
      </c>
      <c r="B14" s="16">
        <v>7.8</v>
      </c>
      <c r="C14" s="16">
        <v>9.3000000000000007</v>
      </c>
      <c r="D14" s="16">
        <v>10.7</v>
      </c>
      <c r="E14" s="16">
        <v>14.8</v>
      </c>
      <c r="F14" s="16">
        <v>17.399999999999999</v>
      </c>
      <c r="G14" s="16">
        <v>22.5</v>
      </c>
      <c r="H14" s="16">
        <v>26.3</v>
      </c>
      <c r="I14" s="16">
        <v>25.1</v>
      </c>
      <c r="J14" s="16">
        <v>22.3</v>
      </c>
      <c r="K14" s="16">
        <v>19.899999999999999</v>
      </c>
      <c r="L14" s="16">
        <v>13.9</v>
      </c>
      <c r="M14" s="16">
        <v>11.9</v>
      </c>
      <c r="O14">
        <v>2004</v>
      </c>
      <c r="P14" s="16">
        <v>65.2</v>
      </c>
      <c r="Q14" s="16">
        <v>52</v>
      </c>
      <c r="R14" s="16">
        <v>144.19999999999999</v>
      </c>
      <c r="S14" s="16">
        <v>60.9</v>
      </c>
      <c r="T14" s="16">
        <v>53.5</v>
      </c>
      <c r="U14" s="16">
        <v>51.6</v>
      </c>
      <c r="V14" s="16">
        <v>1.6</v>
      </c>
      <c r="W14" s="16">
        <v>44.2</v>
      </c>
      <c r="X14" s="16">
        <v>5.8</v>
      </c>
      <c r="Y14" s="16">
        <v>50.5</v>
      </c>
      <c r="Z14" s="16">
        <v>115.5</v>
      </c>
      <c r="AA14" s="16">
        <v>156.6</v>
      </c>
    </row>
    <row r="15" spans="1:27" x14ac:dyDescent="0.25">
      <c r="A15">
        <v>2005</v>
      </c>
      <c r="B15" s="16">
        <v>8.1999999999999993</v>
      </c>
      <c r="C15" s="16">
        <v>6.6</v>
      </c>
      <c r="D15" s="16">
        <v>10.3</v>
      </c>
      <c r="E15" s="16">
        <v>14.3</v>
      </c>
      <c r="F15" s="16">
        <v>20</v>
      </c>
      <c r="G15" s="16">
        <v>23.1</v>
      </c>
      <c r="H15" s="16">
        <v>25.8</v>
      </c>
      <c r="I15" s="16">
        <v>24</v>
      </c>
      <c r="J15" s="16">
        <v>22.7</v>
      </c>
      <c r="K15" s="16">
        <v>17.3</v>
      </c>
      <c r="L15" s="16">
        <v>13</v>
      </c>
      <c r="M15" s="16">
        <v>9.6999999999999993</v>
      </c>
      <c r="O15">
        <v>2005</v>
      </c>
      <c r="P15" s="16">
        <v>23.5</v>
      </c>
      <c r="Q15" s="16">
        <v>84.2</v>
      </c>
      <c r="R15" s="16">
        <v>35.4</v>
      </c>
      <c r="S15" s="16">
        <v>85.5</v>
      </c>
      <c r="T15" s="16">
        <v>3.6</v>
      </c>
      <c r="U15" s="16">
        <v>30.5</v>
      </c>
      <c r="V15" s="16">
        <v>53.4</v>
      </c>
      <c r="W15" s="16">
        <v>35.9</v>
      </c>
      <c r="X15" s="16">
        <v>45.1</v>
      </c>
      <c r="Y15" s="16">
        <v>388.1</v>
      </c>
      <c r="Z15" s="16">
        <v>130.1</v>
      </c>
      <c r="AA15" s="16">
        <v>193.9</v>
      </c>
    </row>
    <row r="16" spans="1:27" x14ac:dyDescent="0.25">
      <c r="A16">
        <v>2006</v>
      </c>
      <c r="B16" s="16">
        <v>7.6</v>
      </c>
      <c r="C16" s="16">
        <v>8.5</v>
      </c>
      <c r="D16" s="16">
        <v>10.1</v>
      </c>
      <c r="E16" s="16">
        <v>14.9</v>
      </c>
      <c r="F16" s="16">
        <v>19</v>
      </c>
      <c r="G16" s="16">
        <v>22.4</v>
      </c>
      <c r="H16" s="16">
        <v>26.5</v>
      </c>
      <c r="I16" s="16">
        <v>24.1</v>
      </c>
      <c r="J16" s="16">
        <v>22.3</v>
      </c>
      <c r="K16" s="16">
        <v>18.899999999999999</v>
      </c>
      <c r="L16" s="16">
        <v>13.2</v>
      </c>
      <c r="M16" s="16">
        <v>11</v>
      </c>
      <c r="O16">
        <v>2006</v>
      </c>
      <c r="P16" s="16">
        <v>57.1</v>
      </c>
      <c r="Q16" s="16">
        <v>51.2</v>
      </c>
      <c r="R16" s="16">
        <v>63.9</v>
      </c>
      <c r="S16" s="16">
        <v>55.7</v>
      </c>
      <c r="T16" s="16">
        <v>59.2</v>
      </c>
      <c r="U16" s="16">
        <v>32.799999999999997</v>
      </c>
      <c r="V16" s="16">
        <v>17.7</v>
      </c>
      <c r="W16" s="16">
        <v>143.4</v>
      </c>
      <c r="X16" s="16">
        <v>102.5</v>
      </c>
      <c r="Y16" s="16">
        <v>9.3000000000000007</v>
      </c>
      <c r="Z16" s="16">
        <v>23.9</v>
      </c>
      <c r="AA16" s="16">
        <v>11.7</v>
      </c>
    </row>
    <row r="17" spans="1:27" x14ac:dyDescent="0.25">
      <c r="A17">
        <v>2007</v>
      </c>
      <c r="B17" s="16">
        <v>11.3</v>
      </c>
      <c r="C17" s="16">
        <v>11.6</v>
      </c>
      <c r="D17" s="16">
        <v>12.7</v>
      </c>
      <c r="E17" s="16">
        <v>16.399999999999999</v>
      </c>
      <c r="F17" s="16">
        <v>20.2</v>
      </c>
      <c r="G17" s="16">
        <v>24.8</v>
      </c>
      <c r="H17" s="16">
        <v>27.2</v>
      </c>
      <c r="I17" s="16">
        <v>25.7</v>
      </c>
      <c r="J17" s="16">
        <v>20</v>
      </c>
      <c r="K17" s="16">
        <v>16.7</v>
      </c>
      <c r="L17" s="16">
        <v>12</v>
      </c>
      <c r="M17" s="16">
        <v>8.6</v>
      </c>
      <c r="O17">
        <v>2007</v>
      </c>
      <c r="P17" s="16">
        <v>32.4</v>
      </c>
      <c r="Q17" s="16">
        <v>92.8</v>
      </c>
      <c r="R17" s="16">
        <v>200.8</v>
      </c>
      <c r="S17" s="16">
        <v>13.4</v>
      </c>
      <c r="T17" s="16">
        <v>82.2</v>
      </c>
      <c r="U17" s="16">
        <v>5.0999999999999996</v>
      </c>
      <c r="V17" s="16">
        <v>4.4000000000000004</v>
      </c>
      <c r="W17" s="16">
        <v>11.6</v>
      </c>
      <c r="X17" s="16">
        <v>41.8</v>
      </c>
      <c r="Y17" s="16">
        <v>70.900000000000006</v>
      </c>
      <c r="Z17" s="16">
        <v>88.6</v>
      </c>
      <c r="AA17" s="16">
        <v>42.9</v>
      </c>
    </row>
    <row r="18" spans="1:27" x14ac:dyDescent="0.25">
      <c r="A18">
        <v>2008</v>
      </c>
      <c r="B18" s="16">
        <v>10.3</v>
      </c>
      <c r="C18" s="16">
        <v>9.8000000000000007</v>
      </c>
      <c r="D18" s="16">
        <v>12.1</v>
      </c>
      <c r="E18" s="16">
        <v>15</v>
      </c>
      <c r="F18" s="16">
        <v>20</v>
      </c>
      <c r="G18" s="16">
        <v>23.6</v>
      </c>
      <c r="H18" s="16">
        <v>26.3</v>
      </c>
      <c r="I18" s="16">
        <v>26.1</v>
      </c>
      <c r="J18" s="16">
        <v>21</v>
      </c>
      <c r="K18" s="16">
        <v>18.100000000000001</v>
      </c>
      <c r="L18" s="16">
        <v>14.5</v>
      </c>
      <c r="M18" s="16">
        <v>11</v>
      </c>
      <c r="O18">
        <v>2008</v>
      </c>
      <c r="P18" s="16">
        <v>21</v>
      </c>
      <c r="Q18" s="16">
        <v>6.1</v>
      </c>
      <c r="R18" s="16">
        <v>82</v>
      </c>
      <c r="S18" s="16">
        <v>103.3</v>
      </c>
      <c r="T18" s="16">
        <v>8.6999999999999993</v>
      </c>
      <c r="U18" s="16">
        <v>117.3</v>
      </c>
      <c r="V18" s="16">
        <v>8.4</v>
      </c>
      <c r="W18" s="16">
        <v>0</v>
      </c>
      <c r="X18" s="16">
        <v>39.5</v>
      </c>
      <c r="Y18" s="16">
        <v>11.4</v>
      </c>
      <c r="Z18" s="16">
        <v>153.30000000000001</v>
      </c>
      <c r="AA18" s="16">
        <v>104.5</v>
      </c>
    </row>
    <row r="19" spans="1:27" x14ac:dyDescent="0.25">
      <c r="A19">
        <v>2009</v>
      </c>
      <c r="B19" s="16">
        <v>9.5</v>
      </c>
      <c r="C19" s="16">
        <v>8.1999999999999993</v>
      </c>
      <c r="D19" s="16">
        <v>11.2</v>
      </c>
      <c r="E19" s="16">
        <v>15.3</v>
      </c>
      <c r="F19" s="16">
        <v>20.7</v>
      </c>
      <c r="G19" s="16">
        <v>22.1</v>
      </c>
      <c r="H19" s="16">
        <v>25.9</v>
      </c>
      <c r="I19" s="16">
        <v>26.7</v>
      </c>
      <c r="J19" s="16">
        <v>23.3</v>
      </c>
      <c r="K19" s="16">
        <v>16.8</v>
      </c>
      <c r="L19" s="16">
        <v>14</v>
      </c>
      <c r="M19" s="16">
        <v>11</v>
      </c>
      <c r="O19">
        <v>2009</v>
      </c>
      <c r="P19" s="16">
        <v>162.4</v>
      </c>
      <c r="Q19" s="16">
        <v>55.2</v>
      </c>
      <c r="R19" s="16">
        <v>71.2</v>
      </c>
      <c r="S19" s="16">
        <v>70.599999999999994</v>
      </c>
      <c r="T19" s="16">
        <v>37.9</v>
      </c>
      <c r="U19" s="16">
        <v>236.7</v>
      </c>
      <c r="V19" s="16">
        <v>2</v>
      </c>
      <c r="W19" s="16">
        <v>1.2</v>
      </c>
      <c r="X19" s="16">
        <v>6.3</v>
      </c>
      <c r="Y19" s="16">
        <v>113.1</v>
      </c>
      <c r="Z19" s="16">
        <v>110.8</v>
      </c>
      <c r="AA19" s="16">
        <v>137.19999999999999</v>
      </c>
    </row>
    <row r="20" spans="1:27" x14ac:dyDescent="0.25">
      <c r="A20">
        <v>2010</v>
      </c>
      <c r="B20" s="16">
        <v>8</v>
      </c>
      <c r="C20" s="16">
        <v>9.3000000000000007</v>
      </c>
      <c r="D20" s="16">
        <v>11</v>
      </c>
      <c r="E20" s="16">
        <v>14.9</v>
      </c>
      <c r="F20" s="16">
        <v>18.899999999999999</v>
      </c>
      <c r="G20" s="16">
        <v>23.3</v>
      </c>
      <c r="H20" s="16">
        <v>26.5</v>
      </c>
      <c r="I20" s="16">
        <v>25.4</v>
      </c>
      <c r="J20" s="16">
        <v>21.2</v>
      </c>
      <c r="K20" s="16">
        <v>16.7</v>
      </c>
      <c r="L20" s="16">
        <v>14.9</v>
      </c>
      <c r="M20" s="16">
        <v>9.4</v>
      </c>
      <c r="O20">
        <v>2010</v>
      </c>
      <c r="P20" s="16">
        <v>127.5</v>
      </c>
      <c r="Q20" s="16">
        <v>187.5</v>
      </c>
      <c r="R20" s="16">
        <v>73.599999999999994</v>
      </c>
      <c r="S20" s="16">
        <v>66.8</v>
      </c>
      <c r="T20" s="16">
        <v>19.100000000000001</v>
      </c>
      <c r="U20" s="16">
        <v>42.8</v>
      </c>
      <c r="V20" s="16">
        <v>12.5</v>
      </c>
      <c r="W20" s="16">
        <v>19.7</v>
      </c>
      <c r="X20" s="16">
        <v>88.9</v>
      </c>
      <c r="Y20" s="16">
        <v>58.6</v>
      </c>
      <c r="Z20" s="16">
        <v>153.30000000000001</v>
      </c>
      <c r="AA20" s="16">
        <v>111.7</v>
      </c>
    </row>
    <row r="21" spans="1:27" x14ac:dyDescent="0.25">
      <c r="A21">
        <v>2011</v>
      </c>
      <c r="B21" s="16">
        <v>9</v>
      </c>
      <c r="C21" s="16">
        <v>9.6</v>
      </c>
      <c r="D21" s="16">
        <v>11.7</v>
      </c>
      <c r="E21" s="16">
        <v>16.100000000000001</v>
      </c>
      <c r="F21" s="16">
        <v>19.5</v>
      </c>
      <c r="G21" s="16">
        <v>24.4</v>
      </c>
      <c r="H21" s="16">
        <v>25.5</v>
      </c>
      <c r="I21" s="16">
        <v>26.7</v>
      </c>
      <c r="J21" s="16">
        <v>25</v>
      </c>
      <c r="K21" s="16">
        <v>18</v>
      </c>
      <c r="L21" s="16">
        <v>14.2</v>
      </c>
      <c r="M21" s="16">
        <v>11.6</v>
      </c>
      <c r="O21">
        <v>2011</v>
      </c>
      <c r="P21" s="16">
        <v>32.700000000000003</v>
      </c>
      <c r="Q21" s="16">
        <v>21.7</v>
      </c>
      <c r="R21" s="16">
        <v>53.4</v>
      </c>
      <c r="S21" s="16">
        <v>7.6</v>
      </c>
      <c r="T21" s="16">
        <v>60.7</v>
      </c>
      <c r="U21" s="16">
        <v>39.200000000000003</v>
      </c>
      <c r="V21" s="16">
        <v>67.7</v>
      </c>
      <c r="W21" s="16">
        <v>0</v>
      </c>
      <c r="X21" s="16">
        <v>21.1</v>
      </c>
      <c r="Y21" s="16">
        <v>144.6</v>
      </c>
      <c r="Z21" s="16">
        <v>106.7</v>
      </c>
      <c r="AA21" s="16">
        <v>62</v>
      </c>
    </row>
    <row r="22" spans="1:27" x14ac:dyDescent="0.25">
      <c r="A22">
        <v>2012</v>
      </c>
      <c r="B22" s="16">
        <v>8.3000000000000007</v>
      </c>
      <c r="C22" s="16">
        <v>6.8</v>
      </c>
      <c r="D22" s="16">
        <v>13.1</v>
      </c>
      <c r="E22" s="16">
        <v>14.5</v>
      </c>
      <c r="F22" s="16">
        <v>18.5</v>
      </c>
      <c r="G22" s="16">
        <v>24.8</v>
      </c>
      <c r="H22" s="16">
        <v>28.1</v>
      </c>
      <c r="I22" s="16">
        <v>27.3</v>
      </c>
      <c r="J22" s="16">
        <v>22.9</v>
      </c>
      <c r="K22" s="16">
        <v>18.8</v>
      </c>
      <c r="L22" s="16">
        <v>16.5</v>
      </c>
      <c r="M22" s="16">
        <v>9.8000000000000007</v>
      </c>
      <c r="O22">
        <v>2012</v>
      </c>
      <c r="P22" s="16">
        <v>32.1</v>
      </c>
      <c r="Q22" s="16">
        <v>82.7</v>
      </c>
      <c r="R22" s="16">
        <v>4.0999999999999996</v>
      </c>
      <c r="S22" s="16">
        <v>89.5</v>
      </c>
      <c r="T22" s="16">
        <v>40.299999999999997</v>
      </c>
      <c r="U22" s="16">
        <v>10.1</v>
      </c>
      <c r="V22" s="16">
        <v>5.9</v>
      </c>
      <c r="W22" s="16">
        <v>0</v>
      </c>
      <c r="X22" s="16">
        <v>117.6</v>
      </c>
      <c r="Y22" s="16">
        <v>166.6</v>
      </c>
      <c r="Z22" s="16">
        <v>44</v>
      </c>
      <c r="AA22" s="16">
        <v>196.1</v>
      </c>
    </row>
    <row r="23" spans="1:27" x14ac:dyDescent="0.25">
      <c r="A23">
        <v>2013</v>
      </c>
      <c r="B23" s="16">
        <v>10.1</v>
      </c>
      <c r="C23" s="16">
        <v>9</v>
      </c>
      <c r="D23" s="16">
        <v>11.4</v>
      </c>
      <c r="E23" s="16">
        <v>16.3</v>
      </c>
      <c r="F23" s="16">
        <v>18.899999999999999</v>
      </c>
      <c r="G23" s="16">
        <v>22.8</v>
      </c>
      <c r="H23" s="16">
        <v>26.7</v>
      </c>
      <c r="I23" s="16">
        <v>26.4</v>
      </c>
      <c r="J23" s="16">
        <v>22.7</v>
      </c>
      <c r="K23" s="16">
        <v>18.7</v>
      </c>
      <c r="L23" s="16">
        <v>15.2</v>
      </c>
      <c r="M23" s="16">
        <v>11.5</v>
      </c>
      <c r="O23">
        <v>2013</v>
      </c>
      <c r="P23" s="16">
        <v>84.7</v>
      </c>
      <c r="Q23" s="16">
        <v>95.8</v>
      </c>
      <c r="R23" s="16">
        <v>151.9</v>
      </c>
      <c r="S23" s="16">
        <v>31.2</v>
      </c>
      <c r="T23" s="16">
        <v>118.2</v>
      </c>
      <c r="U23" s="16">
        <v>27.3</v>
      </c>
      <c r="V23" s="16">
        <v>1.1000000000000001</v>
      </c>
      <c r="W23" s="16">
        <v>12</v>
      </c>
      <c r="X23" s="16">
        <v>44.8</v>
      </c>
      <c r="Y23" s="16">
        <v>67.5</v>
      </c>
      <c r="Z23" s="16">
        <v>95.9</v>
      </c>
      <c r="AA23" s="16">
        <v>41.3</v>
      </c>
    </row>
    <row r="24" spans="1:27" x14ac:dyDescent="0.25">
      <c r="A24">
        <v>2014</v>
      </c>
      <c r="B24" s="16">
        <v>12.1</v>
      </c>
      <c r="C24" s="16">
        <v>12.6</v>
      </c>
      <c r="D24" s="16">
        <v>12.9</v>
      </c>
      <c r="E24" s="16">
        <v>15.2</v>
      </c>
      <c r="F24" s="16">
        <v>17.8</v>
      </c>
      <c r="G24" s="16">
        <v>23</v>
      </c>
      <c r="H24" s="16">
        <v>24.6</v>
      </c>
      <c r="I24" s="16">
        <v>25.6</v>
      </c>
      <c r="J24" s="16">
        <v>21.4</v>
      </c>
      <c r="K24" s="16">
        <v>18.7</v>
      </c>
      <c r="L24" s="16">
        <v>16.2</v>
      </c>
      <c r="M24" s="16">
        <v>11</v>
      </c>
      <c r="O24">
        <v>2014</v>
      </c>
      <c r="P24" s="16">
        <v>77.3</v>
      </c>
      <c r="Q24" s="16">
        <v>120.3</v>
      </c>
      <c r="R24" s="16">
        <v>64.099999999999994</v>
      </c>
      <c r="S24" s="16">
        <v>82</v>
      </c>
      <c r="T24" s="16">
        <v>84.6</v>
      </c>
      <c r="U24" s="16">
        <v>97.2</v>
      </c>
      <c r="V24" s="16">
        <v>90.2</v>
      </c>
      <c r="W24" s="16">
        <v>14</v>
      </c>
      <c r="X24" s="16">
        <v>253.3</v>
      </c>
      <c r="Y24" s="16">
        <v>4.0999999999999996</v>
      </c>
      <c r="Z24" s="16">
        <v>130.9</v>
      </c>
      <c r="AA24" s="16">
        <v>264.3</v>
      </c>
    </row>
    <row r="25" spans="1:27" x14ac:dyDescent="0.25">
      <c r="A25">
        <v>2015</v>
      </c>
      <c r="B25" s="16">
        <v>9.6999999999999993</v>
      </c>
      <c r="C25" s="16">
        <v>9.8000000000000007</v>
      </c>
      <c r="D25" s="16">
        <v>11.8</v>
      </c>
      <c r="E25" s="16">
        <v>14.3</v>
      </c>
      <c r="F25" s="16">
        <v>20</v>
      </c>
      <c r="G25" s="16">
        <v>23.8</v>
      </c>
      <c r="H25" s="16">
        <v>28.2</v>
      </c>
      <c r="I25" s="16">
        <v>26.8</v>
      </c>
      <c r="J25" s="16">
        <v>23.2</v>
      </c>
      <c r="K25" s="16">
        <v>18.100000000000001</v>
      </c>
      <c r="L25" s="16">
        <v>14.6</v>
      </c>
      <c r="M25" s="16">
        <v>11.9</v>
      </c>
      <c r="O25">
        <v>2015</v>
      </c>
      <c r="P25" s="16">
        <v>70.400000000000006</v>
      </c>
      <c r="Q25" s="16">
        <v>192.8</v>
      </c>
      <c r="R25" s="16">
        <v>65.7</v>
      </c>
      <c r="S25" s="16">
        <v>25.8</v>
      </c>
      <c r="T25" s="16">
        <v>43.7</v>
      </c>
      <c r="U25" s="16">
        <v>42.9</v>
      </c>
      <c r="V25" s="16">
        <v>0</v>
      </c>
      <c r="W25" s="16">
        <v>90.8</v>
      </c>
      <c r="X25" s="16">
        <v>56.5</v>
      </c>
      <c r="Y25" s="16">
        <v>162.6</v>
      </c>
      <c r="Z25" s="16">
        <v>42.8</v>
      </c>
      <c r="AA25" s="16">
        <v>0</v>
      </c>
    </row>
    <row r="26" spans="1:27" x14ac:dyDescent="0.25">
      <c r="A26">
        <v>2016</v>
      </c>
      <c r="B26" s="13">
        <v>10.1</v>
      </c>
      <c r="C26" s="13">
        <v>12.3</v>
      </c>
      <c r="D26" s="13">
        <v>12.3</v>
      </c>
      <c r="E26" s="13">
        <v>16.399999999999999</v>
      </c>
      <c r="F26" s="13">
        <v>18.7</v>
      </c>
      <c r="G26" s="13">
        <v>13.4</v>
      </c>
      <c r="H26" s="13">
        <v>16.7</v>
      </c>
      <c r="I26" s="13">
        <v>25.5</v>
      </c>
      <c r="J26" s="13">
        <v>22.8</v>
      </c>
      <c r="K26" s="13">
        <v>17.399999999999999</v>
      </c>
      <c r="L26" s="13">
        <v>14.4</v>
      </c>
      <c r="M26" s="13">
        <v>10.6</v>
      </c>
      <c r="O26">
        <v>2016</v>
      </c>
      <c r="P26" s="16">
        <v>45.1</v>
      </c>
      <c r="Q26" s="16">
        <v>109.5</v>
      </c>
      <c r="R26" s="16">
        <v>46.1</v>
      </c>
      <c r="S26" s="16">
        <v>58.3</v>
      </c>
      <c r="T26" s="16">
        <v>49.3</v>
      </c>
      <c r="U26" s="16">
        <v>26.1</v>
      </c>
      <c r="V26" s="16">
        <v>12.2</v>
      </c>
      <c r="W26" s="16">
        <v>10.1</v>
      </c>
      <c r="X26" s="16">
        <v>28.7</v>
      </c>
      <c r="Y26" s="16">
        <v>98.5</v>
      </c>
      <c r="Z26" s="16">
        <v>73.599999999999994</v>
      </c>
      <c r="AA26" s="16">
        <v>6.8</v>
      </c>
    </row>
    <row r="27" spans="1:27" x14ac:dyDescent="0.25">
      <c r="A27">
        <v>2017</v>
      </c>
      <c r="B27" s="13">
        <v>5.7</v>
      </c>
      <c r="C27" s="13">
        <v>11.3</v>
      </c>
      <c r="D27" s="13">
        <v>13.5</v>
      </c>
      <c r="E27" s="13">
        <v>14.8</v>
      </c>
      <c r="F27" s="13">
        <v>19.7</v>
      </c>
      <c r="G27" s="13">
        <v>25.2</v>
      </c>
      <c r="H27" s="13">
        <v>26.9</v>
      </c>
      <c r="I27" s="13">
        <v>27.8</v>
      </c>
      <c r="J27" s="13">
        <v>21.3</v>
      </c>
      <c r="K27" s="13">
        <v>17.5</v>
      </c>
      <c r="L27" s="13">
        <v>13.2</v>
      </c>
      <c r="M27" s="13">
        <v>10.3</v>
      </c>
      <c r="O27">
        <v>2017</v>
      </c>
      <c r="P27" s="16">
        <v>64.3</v>
      </c>
      <c r="Q27" s="16">
        <v>36</v>
      </c>
      <c r="R27" s="16">
        <v>57.2</v>
      </c>
      <c r="S27" s="16">
        <v>71</v>
      </c>
      <c r="T27" s="16">
        <v>29.3</v>
      </c>
      <c r="U27" s="16">
        <v>14.2</v>
      </c>
      <c r="V27" s="16">
        <v>0.7</v>
      </c>
      <c r="W27" s="16">
        <v>1</v>
      </c>
      <c r="X27" s="16">
        <v>143.69999999999999</v>
      </c>
      <c r="Y27" s="16">
        <v>40.9</v>
      </c>
      <c r="Z27" s="16">
        <v>194.7</v>
      </c>
      <c r="AA27" s="16">
        <v>53.1</v>
      </c>
    </row>
    <row r="28" spans="1:27" x14ac:dyDescent="0.25">
      <c r="A28">
        <v>2018</v>
      </c>
      <c r="B28" s="16">
        <v>10.9</v>
      </c>
      <c r="C28" s="16">
        <v>8.4</v>
      </c>
      <c r="D28" s="16">
        <v>11.4</v>
      </c>
      <c r="E28" s="16">
        <v>17.3</v>
      </c>
      <c r="F28" s="16">
        <v>21.6</v>
      </c>
      <c r="G28" s="16">
        <v>24.9</v>
      </c>
      <c r="H28" s="16">
        <v>26.6</v>
      </c>
      <c r="I28" s="16">
        <v>27.7</v>
      </c>
      <c r="J28" s="16">
        <v>23.6</v>
      </c>
      <c r="K28" s="16">
        <v>19.600000000000001</v>
      </c>
      <c r="L28" s="16">
        <v>15.5</v>
      </c>
      <c r="M28" s="16">
        <v>10.3</v>
      </c>
      <c r="O28">
        <v>2018</v>
      </c>
      <c r="P28" s="16">
        <v>66.900000000000006</v>
      </c>
      <c r="Q28" s="16">
        <v>127.2</v>
      </c>
      <c r="R28" s="16">
        <v>127</v>
      </c>
      <c r="S28" s="16">
        <v>34.200000000000003</v>
      </c>
      <c r="T28" s="16">
        <v>38.4</v>
      </c>
      <c r="U28" s="16">
        <v>33.6</v>
      </c>
      <c r="V28" s="16">
        <v>24.3</v>
      </c>
      <c r="W28" s="16">
        <v>3</v>
      </c>
      <c r="X28" s="16">
        <v>18.600000000000001</v>
      </c>
      <c r="Y28" s="16">
        <v>123.2</v>
      </c>
      <c r="Z28" s="16">
        <v>120</v>
      </c>
      <c r="AA28" s="16">
        <v>102.7</v>
      </c>
    </row>
    <row r="29" spans="1:27" x14ac:dyDescent="0.25">
      <c r="A29">
        <v>2019</v>
      </c>
      <c r="B29" s="16">
        <v>7.9</v>
      </c>
      <c r="C29" s="16">
        <v>10.5</v>
      </c>
      <c r="D29" s="16">
        <v>13.1</v>
      </c>
      <c r="E29" s="16">
        <v>15.5</v>
      </c>
      <c r="F29" s="16">
        <v>16.7</v>
      </c>
      <c r="G29" s="16">
        <v>25.1</v>
      </c>
      <c r="H29" s="16">
        <v>26.4</v>
      </c>
      <c r="I29" s="16">
        <v>27.3</v>
      </c>
      <c r="J29" s="16">
        <v>23.2</v>
      </c>
      <c r="K29" s="16">
        <v>19</v>
      </c>
      <c r="L29" s="16">
        <v>16.899999999999999</v>
      </c>
      <c r="M29" s="16">
        <v>12.2</v>
      </c>
      <c r="O29">
        <v>2019</v>
      </c>
      <c r="P29" s="16">
        <v>108.9</v>
      </c>
      <c r="Q29" s="16">
        <v>14.1</v>
      </c>
      <c r="R29" s="16">
        <v>34.799999999999997</v>
      </c>
      <c r="S29" s="16">
        <v>97.1</v>
      </c>
      <c r="T29" s="16">
        <v>132.80000000000001</v>
      </c>
      <c r="U29" s="16">
        <v>9.6999999999999993</v>
      </c>
      <c r="V29" s="16">
        <v>22.3</v>
      </c>
      <c r="W29" s="16">
        <v>7.8</v>
      </c>
      <c r="X29" s="16">
        <v>64.8</v>
      </c>
      <c r="Y29" s="16">
        <v>40</v>
      </c>
      <c r="Z29" s="16">
        <v>215.2</v>
      </c>
      <c r="AA29" s="16">
        <v>103.2</v>
      </c>
    </row>
    <row r="30" spans="1:27" x14ac:dyDescent="0.25">
      <c r="A30">
        <v>2020</v>
      </c>
      <c r="B30" s="16">
        <v>10.1</v>
      </c>
      <c r="C30" s="16">
        <v>11.2</v>
      </c>
      <c r="D30" s="16">
        <v>12.1</v>
      </c>
      <c r="E30" s="16">
        <v>15.2</v>
      </c>
      <c r="F30" s="16">
        <v>19.600000000000001</v>
      </c>
      <c r="G30" s="16">
        <v>22.4</v>
      </c>
      <c r="H30" s="16">
        <v>25.3</v>
      </c>
      <c r="I30" s="16">
        <v>27.3</v>
      </c>
      <c r="J30" s="16">
        <v>23.7</v>
      </c>
      <c r="K30" s="16">
        <v>17.7</v>
      </c>
      <c r="L30" s="16">
        <v>14.3</v>
      </c>
      <c r="M30" s="16">
        <v>12.2</v>
      </c>
      <c r="O30">
        <v>2020</v>
      </c>
      <c r="P30" s="16">
        <v>4.4000000000000004</v>
      </c>
      <c r="Q30" s="16">
        <v>14</v>
      </c>
      <c r="R30" s="16">
        <v>19.399999999999999</v>
      </c>
      <c r="S30" s="16">
        <v>36.1</v>
      </c>
      <c r="T30" s="16">
        <v>41.3</v>
      </c>
      <c r="U30" s="16">
        <v>22.2</v>
      </c>
      <c r="V30" s="16">
        <v>3.6</v>
      </c>
      <c r="W30" s="16">
        <v>10.9</v>
      </c>
      <c r="X30" s="16">
        <v>108.3</v>
      </c>
      <c r="Y30" s="16">
        <v>89.3</v>
      </c>
      <c r="Z30" s="16">
        <v>15.6</v>
      </c>
      <c r="AA30" s="16">
        <v>234.2</v>
      </c>
    </row>
    <row r="31" spans="1:27" x14ac:dyDescent="0.25">
      <c r="A31">
        <v>2021</v>
      </c>
      <c r="B31" s="16">
        <v>9</v>
      </c>
      <c r="C31" s="16">
        <v>10.7</v>
      </c>
      <c r="D31" s="16">
        <v>10.8</v>
      </c>
      <c r="E31" s="16">
        <v>13.3</v>
      </c>
      <c r="F31" s="16">
        <v>18.899999999999999</v>
      </c>
      <c r="G31" s="16">
        <v>24.6</v>
      </c>
      <c r="H31" s="16">
        <v>27.4</v>
      </c>
      <c r="I31" s="16">
        <v>27.1</v>
      </c>
      <c r="J31" s="16">
        <v>23</v>
      </c>
      <c r="K31" s="16">
        <v>17.100000000000001</v>
      </c>
      <c r="L31" s="16">
        <v>15.4</v>
      </c>
      <c r="M31" s="16">
        <v>10.8</v>
      </c>
      <c r="O31">
        <v>2021</v>
      </c>
      <c r="P31" s="16">
        <v>108.1</v>
      </c>
      <c r="Q31" s="16">
        <v>28</v>
      </c>
      <c r="R31" s="16">
        <v>21</v>
      </c>
      <c r="S31" s="16">
        <v>54.3</v>
      </c>
      <c r="T31" s="16">
        <v>24.7</v>
      </c>
      <c r="U31" s="16">
        <v>2</v>
      </c>
      <c r="V31" s="16">
        <v>6.3</v>
      </c>
      <c r="W31" s="16">
        <v>41.8</v>
      </c>
      <c r="X31" s="16">
        <v>10.1</v>
      </c>
      <c r="Y31" s="16">
        <v>125.6</v>
      </c>
      <c r="Z31" s="16">
        <v>328.9</v>
      </c>
      <c r="AA31" s="16">
        <v>84.3</v>
      </c>
    </row>
    <row r="32" spans="1:27" x14ac:dyDescent="0.25">
      <c r="A32">
        <v>2022</v>
      </c>
      <c r="B32" s="16">
        <v>9.6</v>
      </c>
      <c r="C32" s="16">
        <v>10.8</v>
      </c>
      <c r="D32" s="16">
        <v>10.3</v>
      </c>
      <c r="E32" s="16">
        <v>14.5</v>
      </c>
      <c r="F32" s="16">
        <v>20.7</v>
      </c>
      <c r="G32" s="16">
        <v>26.1</v>
      </c>
      <c r="H32" s="16">
        <v>27.6</v>
      </c>
      <c r="I32" s="16">
        <v>26.8</v>
      </c>
      <c r="J32" s="16">
        <v>22.5</v>
      </c>
      <c r="K32" s="16">
        <v>19.600000000000001</v>
      </c>
      <c r="L32" s="16">
        <v>15.1</v>
      </c>
      <c r="M32" s="16">
        <v>13.4</v>
      </c>
      <c r="O32">
        <v>2022</v>
      </c>
      <c r="P32" s="16">
        <v>3</v>
      </c>
      <c r="Q32" s="16">
        <v>41</v>
      </c>
      <c r="R32" s="16">
        <v>8.9</v>
      </c>
      <c r="S32" s="16">
        <v>30.1</v>
      </c>
      <c r="T32" s="16">
        <v>7</v>
      </c>
      <c r="U32" s="16">
        <v>19.3</v>
      </c>
      <c r="V32" s="16">
        <v>4</v>
      </c>
      <c r="W32" s="16">
        <v>16.2</v>
      </c>
      <c r="X32" s="16">
        <v>19.5</v>
      </c>
      <c r="Y32" s="16">
        <v>2.7</v>
      </c>
      <c r="Z32" s="16">
        <v>180.3</v>
      </c>
      <c r="AA32" s="16">
        <v>151.30000000000001</v>
      </c>
    </row>
    <row r="33" spans="1:27" x14ac:dyDescent="0.25">
      <c r="A33">
        <v>2023</v>
      </c>
      <c r="B33" s="16">
        <v>10.9</v>
      </c>
      <c r="C33" s="16">
        <v>9.5</v>
      </c>
      <c r="D33" s="16">
        <v>12.8</v>
      </c>
      <c r="E33" s="16">
        <v>14.2</v>
      </c>
      <c r="F33" s="16">
        <v>19.399999999999999</v>
      </c>
      <c r="G33" s="16">
        <v>23.8</v>
      </c>
      <c r="H33" s="16">
        <v>27.7</v>
      </c>
      <c r="I33" s="16">
        <v>26.8</v>
      </c>
      <c r="J33" s="16">
        <v>24.5</v>
      </c>
      <c r="K33" s="16">
        <v>21</v>
      </c>
      <c r="L33" s="16">
        <v>15.3</v>
      </c>
      <c r="M33" s="16">
        <v>12.3</v>
      </c>
      <c r="O33">
        <v>2023</v>
      </c>
      <c r="P33" s="16">
        <v>154.30000000000001</v>
      </c>
      <c r="Q33" s="16">
        <v>27.5</v>
      </c>
      <c r="R33" s="16">
        <v>73.5</v>
      </c>
      <c r="S33" s="16">
        <v>29.1</v>
      </c>
      <c r="T33" s="16">
        <v>115</v>
      </c>
      <c r="U33" s="16">
        <v>37.299999999999997</v>
      </c>
      <c r="V33" s="16">
        <v>16.8</v>
      </c>
      <c r="W33" s="16">
        <v>72.8</v>
      </c>
      <c r="X33" s="16">
        <v>73.5</v>
      </c>
      <c r="Y33" s="16">
        <v>21.6</v>
      </c>
      <c r="Z33" s="16">
        <v>122.3</v>
      </c>
      <c r="AA33" s="16">
        <v>60.2</v>
      </c>
    </row>
    <row r="34" spans="1:27" x14ac:dyDescent="0.25">
      <c r="A34">
        <v>2024</v>
      </c>
      <c r="B34">
        <v>10.6</v>
      </c>
      <c r="C34">
        <v>13</v>
      </c>
      <c r="D34">
        <v>13.8</v>
      </c>
      <c r="E34">
        <v>16.899999999999999</v>
      </c>
      <c r="F34">
        <v>20.399999999999999</v>
      </c>
      <c r="G34">
        <v>25.4</v>
      </c>
      <c r="H34">
        <v>28.3</v>
      </c>
      <c r="I34">
        <v>28.5</v>
      </c>
      <c r="J34">
        <v>22.9</v>
      </c>
      <c r="K34">
        <v>20.100000000000001</v>
      </c>
      <c r="L34">
        <v>14.2</v>
      </c>
      <c r="M34">
        <v>11.2</v>
      </c>
      <c r="O34">
        <v>2024</v>
      </c>
      <c r="P34">
        <v>60.1</v>
      </c>
      <c r="Q34">
        <v>39.799999999999997</v>
      </c>
      <c r="R34">
        <v>109.7</v>
      </c>
      <c r="S34">
        <v>32.1</v>
      </c>
      <c r="T34">
        <v>23.5</v>
      </c>
      <c r="U34">
        <v>11.5</v>
      </c>
      <c r="V34">
        <v>16.8</v>
      </c>
      <c r="W34">
        <v>42.9</v>
      </c>
      <c r="X34">
        <v>140.4</v>
      </c>
      <c r="Y34">
        <v>30.8</v>
      </c>
      <c r="Z34">
        <v>40.799999999999997</v>
      </c>
      <c r="AA34">
        <v>77.099999999999994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86CE-4F1C-4EDA-B30E-E5A308899298}">
  <dimension ref="A1:AA40"/>
  <sheetViews>
    <sheetView zoomScaleNormal="100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0.86333333333333329</v>
      </c>
      <c r="C2" s="4">
        <f t="shared" ref="C2:L2" si="0">AVERAGE(C5:C46)</f>
        <v>2.9399999999999991</v>
      </c>
      <c r="D2" s="4">
        <f t="shared" si="0"/>
        <v>6.7733333333333325</v>
      </c>
      <c r="E2" s="4">
        <f t="shared" si="0"/>
        <v>11.603333333333332</v>
      </c>
      <c r="F2" s="4">
        <f t="shared" si="0"/>
        <v>16.333333333333332</v>
      </c>
      <c r="G2" s="4">
        <f t="shared" si="0"/>
        <v>20.513333333333332</v>
      </c>
      <c r="H2" s="4">
        <f t="shared" si="0"/>
        <v>22.036666666666658</v>
      </c>
      <c r="I2" s="4">
        <f t="shared" si="0"/>
        <v>21.146666666666672</v>
      </c>
      <c r="J2" s="4">
        <f t="shared" si="0"/>
        <v>15.866666666666664</v>
      </c>
      <c r="K2" s="4">
        <f t="shared" si="0"/>
        <v>11.426666666666666</v>
      </c>
      <c r="L2" s="4">
        <f t="shared" si="0"/>
        <v>6.42</v>
      </c>
      <c r="M2" s="4">
        <f>AVERAGE(M5:M46)</f>
        <v>1.76</v>
      </c>
      <c r="O2" s="30"/>
      <c r="P2" s="4">
        <f>AVERAGE(P5:P46)</f>
        <v>79.88000000000001</v>
      </c>
      <c r="Q2" s="4">
        <f t="shared" ref="Q2:Z2" si="1">AVERAGE(Q5:Q46)</f>
        <v>74.913333333333327</v>
      </c>
      <c r="R2" s="4">
        <f t="shared" si="1"/>
        <v>63.556666666666665</v>
      </c>
      <c r="S2" s="4">
        <f t="shared" si="1"/>
        <v>89.039999999999992</v>
      </c>
      <c r="T2" s="4">
        <f t="shared" si="1"/>
        <v>110.99333333333334</v>
      </c>
      <c r="U2" s="4">
        <f t="shared" si="1"/>
        <v>90.700000000000017</v>
      </c>
      <c r="V2" s="4">
        <f t="shared" si="1"/>
        <v>94.640000000000015</v>
      </c>
      <c r="W2" s="4">
        <f t="shared" si="1"/>
        <v>98.236666666666679</v>
      </c>
      <c r="X2" s="4">
        <f t="shared" si="1"/>
        <v>139.84</v>
      </c>
      <c r="Y2" s="4">
        <f t="shared" si="1"/>
        <v>99.666666666666671</v>
      </c>
      <c r="Z2" s="4">
        <f t="shared" si="1"/>
        <v>111.33999999999999</v>
      </c>
      <c r="AA2" s="4">
        <f>AVERAGE(AA5:AA46)</f>
        <v>89.806666666666672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0.4</v>
      </c>
      <c r="C5" s="2">
        <v>6.2</v>
      </c>
      <c r="D5" s="2">
        <v>5.9</v>
      </c>
      <c r="E5" s="2">
        <v>12.1</v>
      </c>
      <c r="F5" s="2">
        <v>15.7</v>
      </c>
      <c r="G5" s="2">
        <v>18.100000000000001</v>
      </c>
      <c r="H5" s="2">
        <v>22.5</v>
      </c>
      <c r="I5" s="2">
        <v>19</v>
      </c>
      <c r="J5" s="2">
        <v>14.6</v>
      </c>
      <c r="K5" s="2">
        <v>11.5</v>
      </c>
      <c r="L5" s="2">
        <v>4.9000000000000004</v>
      </c>
      <c r="M5" s="2">
        <v>1.4</v>
      </c>
      <c r="O5">
        <v>1995</v>
      </c>
      <c r="P5">
        <v>94.8</v>
      </c>
      <c r="Q5">
        <v>90.7</v>
      </c>
      <c r="R5">
        <v>96.3</v>
      </c>
      <c r="S5">
        <v>51.2</v>
      </c>
      <c r="T5">
        <v>93.7</v>
      </c>
      <c r="U5">
        <v>139.30000000000001</v>
      </c>
      <c r="V5">
        <v>137.69999999999999</v>
      </c>
      <c r="W5">
        <v>137.80000000000001</v>
      </c>
      <c r="X5">
        <v>162.1</v>
      </c>
      <c r="Y5">
        <v>12.5</v>
      </c>
      <c r="Z5">
        <v>44.2</v>
      </c>
      <c r="AA5">
        <v>120.1</v>
      </c>
    </row>
    <row r="6" spans="1:27" x14ac:dyDescent="0.25">
      <c r="A6">
        <v>1996</v>
      </c>
      <c r="B6" s="2">
        <v>-0.8</v>
      </c>
      <c r="C6" s="2">
        <v>-0.7</v>
      </c>
      <c r="D6" s="2">
        <v>3.4</v>
      </c>
      <c r="E6" s="2">
        <v>10.7</v>
      </c>
      <c r="F6" s="2">
        <v>17</v>
      </c>
      <c r="G6" s="2">
        <v>20.3</v>
      </c>
      <c r="H6" s="2">
        <v>19.7</v>
      </c>
      <c r="I6" s="2">
        <v>19.8</v>
      </c>
      <c r="J6" s="2">
        <v>13.2</v>
      </c>
      <c r="K6" s="2">
        <v>11.3</v>
      </c>
      <c r="L6" s="2">
        <v>7.3</v>
      </c>
      <c r="M6" s="2">
        <v>-2.5</v>
      </c>
      <c r="O6">
        <v>1996</v>
      </c>
      <c r="P6">
        <v>66.5</v>
      </c>
      <c r="Q6">
        <v>37.200000000000003</v>
      </c>
      <c r="R6">
        <v>23.8</v>
      </c>
      <c r="S6">
        <v>109</v>
      </c>
      <c r="T6">
        <v>107.1</v>
      </c>
      <c r="U6">
        <v>90.3</v>
      </c>
      <c r="V6">
        <v>72.3</v>
      </c>
      <c r="W6">
        <v>163.4</v>
      </c>
      <c r="X6">
        <v>179.7</v>
      </c>
      <c r="Y6">
        <v>91</v>
      </c>
      <c r="Z6">
        <v>167</v>
      </c>
      <c r="AA6">
        <v>80.400000000000006</v>
      </c>
    </row>
    <row r="7" spans="1:27" x14ac:dyDescent="0.25">
      <c r="A7">
        <v>1997</v>
      </c>
      <c r="B7" s="2">
        <v>-0.9</v>
      </c>
      <c r="C7" s="2">
        <v>4</v>
      </c>
      <c r="D7" s="2">
        <v>6.5</v>
      </c>
      <c r="E7" s="2">
        <v>7.8</v>
      </c>
      <c r="F7" s="2">
        <v>17.600000000000001</v>
      </c>
      <c r="G7" s="2">
        <v>20.2</v>
      </c>
      <c r="H7" s="2">
        <v>20.399999999999999</v>
      </c>
      <c r="I7" s="2">
        <v>20</v>
      </c>
      <c r="J7" s="2">
        <v>15.9</v>
      </c>
      <c r="K7" s="2">
        <v>9.1</v>
      </c>
      <c r="L7" s="2">
        <v>5.3</v>
      </c>
      <c r="M7" s="2">
        <v>2.8</v>
      </c>
      <c r="O7">
        <v>1997</v>
      </c>
      <c r="P7">
        <v>135.80000000000001</v>
      </c>
      <c r="Q7">
        <v>34.4</v>
      </c>
      <c r="R7">
        <v>38.799999999999997</v>
      </c>
      <c r="S7">
        <v>104.5</v>
      </c>
      <c r="T7">
        <v>80</v>
      </c>
      <c r="U7">
        <v>100.1</v>
      </c>
      <c r="V7">
        <v>128.30000000000001</v>
      </c>
      <c r="W7">
        <v>141.69999999999999</v>
      </c>
      <c r="X7">
        <v>49.7</v>
      </c>
      <c r="Y7">
        <v>41.3</v>
      </c>
      <c r="Z7">
        <v>101.4</v>
      </c>
      <c r="AA7">
        <v>141</v>
      </c>
    </row>
    <row r="8" spans="1:27" x14ac:dyDescent="0.25">
      <c r="A8">
        <v>1998</v>
      </c>
      <c r="B8" s="2">
        <v>3.5</v>
      </c>
      <c r="C8" s="2">
        <v>5.0999999999999996</v>
      </c>
      <c r="D8" s="2">
        <v>5.2</v>
      </c>
      <c r="E8" s="2">
        <v>12.8</v>
      </c>
      <c r="F8" s="2">
        <v>15.7</v>
      </c>
      <c r="G8" s="2">
        <v>21</v>
      </c>
      <c r="H8" s="2">
        <v>21.9</v>
      </c>
      <c r="I8" s="2">
        <v>21.2</v>
      </c>
      <c r="J8" s="2">
        <v>15.6</v>
      </c>
      <c r="K8" s="2">
        <v>11.4</v>
      </c>
      <c r="L8" s="2">
        <v>3.7</v>
      </c>
      <c r="M8" s="2">
        <v>-3.3</v>
      </c>
      <c r="O8">
        <v>1998</v>
      </c>
      <c r="P8">
        <v>57.1</v>
      </c>
      <c r="Q8">
        <v>11.5</v>
      </c>
      <c r="R8">
        <v>41.7</v>
      </c>
      <c r="S8">
        <v>92.2</v>
      </c>
      <c r="T8">
        <v>125</v>
      </c>
      <c r="U8">
        <v>87.3</v>
      </c>
      <c r="V8">
        <v>143.69999999999999</v>
      </c>
      <c r="W8">
        <v>79.8</v>
      </c>
      <c r="X8">
        <v>188.6</v>
      </c>
      <c r="Y8">
        <v>123.6</v>
      </c>
      <c r="Z8">
        <v>116.9</v>
      </c>
      <c r="AA8">
        <v>91.9</v>
      </c>
    </row>
    <row r="9" spans="1:27" x14ac:dyDescent="0.25">
      <c r="A9">
        <v>1999</v>
      </c>
      <c r="B9" s="2">
        <v>0.5</v>
      </c>
      <c r="C9" s="2">
        <v>1.2</v>
      </c>
      <c r="D9" s="2">
        <v>8.4</v>
      </c>
      <c r="E9" s="2">
        <v>12.5</v>
      </c>
      <c r="F9" s="2">
        <v>17.100000000000001</v>
      </c>
      <c r="G9" s="2">
        <v>20</v>
      </c>
      <c r="H9" s="2">
        <v>21.3</v>
      </c>
      <c r="I9" s="2">
        <v>20.8</v>
      </c>
      <c r="J9" s="2">
        <v>18.100000000000001</v>
      </c>
      <c r="K9" s="2">
        <v>11.3</v>
      </c>
      <c r="L9" s="2">
        <v>2.9</v>
      </c>
      <c r="M9" s="2">
        <v>0.3</v>
      </c>
      <c r="O9">
        <v>1999</v>
      </c>
      <c r="P9" s="11">
        <v>49.6</v>
      </c>
      <c r="Q9" s="11">
        <v>94</v>
      </c>
      <c r="R9" s="11">
        <v>44.4</v>
      </c>
      <c r="S9" s="11">
        <v>98.2</v>
      </c>
      <c r="T9" s="11">
        <v>104.3</v>
      </c>
      <c r="U9" s="11">
        <v>109.9</v>
      </c>
      <c r="V9" s="11">
        <v>209.7</v>
      </c>
      <c r="W9" s="11">
        <v>64.2</v>
      </c>
      <c r="X9" s="11">
        <v>117.3</v>
      </c>
      <c r="Y9" s="11">
        <v>79.7</v>
      </c>
      <c r="Z9" s="11">
        <v>111.1</v>
      </c>
      <c r="AA9" s="11">
        <v>100.5</v>
      </c>
    </row>
    <row r="10" spans="1:27" x14ac:dyDescent="0.25">
      <c r="A10">
        <v>2000</v>
      </c>
      <c r="B10" s="2">
        <v>-2.7</v>
      </c>
      <c r="C10" s="2">
        <v>4.2</v>
      </c>
      <c r="D10" s="2">
        <v>7.8</v>
      </c>
      <c r="E10" s="2">
        <v>13.8</v>
      </c>
      <c r="F10" s="2">
        <v>17.399999999999999</v>
      </c>
      <c r="G10" s="2">
        <v>21.6</v>
      </c>
      <c r="H10" s="2">
        <v>21.3</v>
      </c>
      <c r="I10" s="2">
        <v>22.4</v>
      </c>
      <c r="J10" s="2">
        <v>16.5</v>
      </c>
      <c r="K10" s="2">
        <v>13.1</v>
      </c>
      <c r="L10" s="2">
        <v>9.3000000000000007</v>
      </c>
      <c r="M10" s="2">
        <v>5.0999999999999996</v>
      </c>
      <c r="O10">
        <v>2000</v>
      </c>
      <c r="P10" s="11">
        <v>21</v>
      </c>
      <c r="Q10" s="11">
        <v>33.4</v>
      </c>
      <c r="R10" s="11">
        <v>77.7</v>
      </c>
      <c r="S10" s="11">
        <v>36.299999999999997</v>
      </c>
      <c r="T10" s="11">
        <v>45.6</v>
      </c>
      <c r="U10" s="11">
        <v>41.6</v>
      </c>
      <c r="V10" s="11">
        <v>85.6</v>
      </c>
      <c r="W10" s="11">
        <v>6.9</v>
      </c>
      <c r="X10" s="11">
        <v>72.900000000000006</v>
      </c>
      <c r="Y10" s="11">
        <v>181.8</v>
      </c>
      <c r="Z10" s="11">
        <v>130.80000000000001</v>
      </c>
      <c r="AA10" s="11">
        <v>142.30000000000001</v>
      </c>
    </row>
    <row r="11" spans="1:27" x14ac:dyDescent="0.25">
      <c r="A11">
        <v>2001</v>
      </c>
      <c r="B11" s="2">
        <v>3.7</v>
      </c>
      <c r="C11" s="2">
        <v>3.4</v>
      </c>
      <c r="D11" s="2">
        <v>9.5</v>
      </c>
      <c r="E11" s="2">
        <v>10</v>
      </c>
      <c r="F11" s="2">
        <v>17.600000000000001</v>
      </c>
      <c r="G11" s="2">
        <v>18.3</v>
      </c>
      <c r="H11" s="2">
        <v>22.6</v>
      </c>
      <c r="I11" s="2">
        <v>22.2</v>
      </c>
      <c r="J11" s="2">
        <v>14</v>
      </c>
      <c r="K11" s="2">
        <v>13.3</v>
      </c>
      <c r="L11" s="2">
        <v>2.2000000000000002</v>
      </c>
      <c r="M11" s="2">
        <v>-2.5</v>
      </c>
      <c r="O11">
        <v>2001</v>
      </c>
      <c r="P11" s="11">
        <v>135</v>
      </c>
      <c r="Q11" s="11">
        <v>38.9</v>
      </c>
      <c r="R11" s="11">
        <v>119.2</v>
      </c>
      <c r="S11" s="11">
        <v>136.9</v>
      </c>
      <c r="T11" s="11">
        <v>90.2</v>
      </c>
      <c r="U11" s="11">
        <v>133.19999999999999</v>
      </c>
      <c r="V11" s="11">
        <v>40.5</v>
      </c>
      <c r="W11" s="11">
        <v>15.7</v>
      </c>
      <c r="X11" s="11">
        <v>302.3</v>
      </c>
      <c r="Y11" s="11">
        <v>9.6999999999999993</v>
      </c>
      <c r="Z11" s="11">
        <v>113.4</v>
      </c>
      <c r="AA11" s="11">
        <v>56.8</v>
      </c>
    </row>
    <row r="12" spans="1:27" x14ac:dyDescent="0.25">
      <c r="A12">
        <v>2002</v>
      </c>
      <c r="B12" s="6">
        <v>0.1</v>
      </c>
      <c r="C12" s="6">
        <v>5.6</v>
      </c>
      <c r="D12" s="6">
        <v>7.9</v>
      </c>
      <c r="E12" s="6">
        <v>9.5</v>
      </c>
      <c r="F12" s="6">
        <v>17.3</v>
      </c>
      <c r="G12" s="6">
        <v>20.6</v>
      </c>
      <c r="H12" s="6">
        <v>21.1</v>
      </c>
      <c r="I12" s="6">
        <v>20.8</v>
      </c>
      <c r="J12" s="6">
        <v>14.1</v>
      </c>
      <c r="K12" s="6">
        <v>10.9</v>
      </c>
      <c r="L12" s="6">
        <v>9.1999999999999993</v>
      </c>
      <c r="M12" s="6">
        <v>1.6</v>
      </c>
      <c r="O12">
        <v>2002</v>
      </c>
      <c r="P12" s="12">
        <v>33</v>
      </c>
      <c r="Q12" s="12">
        <v>98</v>
      </c>
      <c r="R12" s="12">
        <v>23</v>
      </c>
      <c r="S12" s="12">
        <v>242</v>
      </c>
      <c r="T12" s="12">
        <v>101</v>
      </c>
      <c r="U12" s="12">
        <v>67</v>
      </c>
      <c r="V12" s="12">
        <v>271</v>
      </c>
      <c r="W12" s="12">
        <v>120</v>
      </c>
      <c r="X12" s="12">
        <v>127</v>
      </c>
      <c r="Y12" s="12">
        <v>113</v>
      </c>
      <c r="Z12" s="12">
        <v>99</v>
      </c>
      <c r="AA12" s="12">
        <v>119</v>
      </c>
    </row>
    <row r="13" spans="1:27" x14ac:dyDescent="0.25">
      <c r="A13">
        <v>2003</v>
      </c>
      <c r="B13" s="6">
        <v>-1.5</v>
      </c>
      <c r="C13" s="6">
        <v>-2.2000000000000002</v>
      </c>
      <c r="D13" s="6">
        <v>6</v>
      </c>
      <c r="E13" s="6">
        <v>10</v>
      </c>
      <c r="F13" s="6">
        <v>18.5</v>
      </c>
      <c r="G13" s="6">
        <v>23</v>
      </c>
      <c r="H13" s="6">
        <v>22.6</v>
      </c>
      <c r="I13" s="6">
        <v>23.6</v>
      </c>
      <c r="J13" s="6">
        <v>14.5</v>
      </c>
      <c r="K13" s="6">
        <v>8.5</v>
      </c>
      <c r="L13" s="6">
        <v>7.2</v>
      </c>
      <c r="M13" s="6">
        <v>1</v>
      </c>
      <c r="O13">
        <v>2003</v>
      </c>
      <c r="P13" s="12">
        <v>99</v>
      </c>
      <c r="Q13" s="12">
        <v>49.9</v>
      </c>
      <c r="R13" s="12">
        <v>9.6999999999999993</v>
      </c>
      <c r="S13" s="12">
        <v>44.6</v>
      </c>
      <c r="T13" s="12">
        <v>66.900000000000006</v>
      </c>
      <c r="U13" s="12">
        <v>56.5</v>
      </c>
      <c r="V13" s="12">
        <v>49</v>
      </c>
      <c r="W13" s="12">
        <v>32.9</v>
      </c>
      <c r="X13" s="12">
        <v>114.2</v>
      </c>
      <c r="Y13" s="12">
        <v>133.4</v>
      </c>
      <c r="Z13" s="12">
        <v>63.3</v>
      </c>
      <c r="AA13" s="12">
        <v>36.799999999999997</v>
      </c>
    </row>
    <row r="14" spans="1:27" x14ac:dyDescent="0.25">
      <c r="A14">
        <v>2004</v>
      </c>
      <c r="B14" s="7">
        <v>-0.6</v>
      </c>
      <c r="C14" s="7">
        <v>1.7</v>
      </c>
      <c r="D14" s="7">
        <v>4.2</v>
      </c>
      <c r="E14" s="7">
        <v>10.8</v>
      </c>
      <c r="F14" s="7">
        <v>13.7</v>
      </c>
      <c r="G14" s="7">
        <v>18.399999999999999</v>
      </c>
      <c r="H14" s="7">
        <v>20.399999999999999</v>
      </c>
      <c r="I14" s="7">
        <v>20.399999999999999</v>
      </c>
      <c r="J14" s="7">
        <v>14.7</v>
      </c>
      <c r="K14" s="7">
        <v>12.8</v>
      </c>
      <c r="L14" s="7">
        <v>6.3</v>
      </c>
      <c r="M14" s="7">
        <v>1.3</v>
      </c>
      <c r="O14">
        <v>2004</v>
      </c>
      <c r="P14" s="11">
        <v>97</v>
      </c>
      <c r="Q14" s="11">
        <v>81.099999999999994</v>
      </c>
      <c r="R14" s="11">
        <v>96.2</v>
      </c>
      <c r="S14" s="11">
        <v>173.2</v>
      </c>
      <c r="T14" s="11">
        <v>81.400000000000006</v>
      </c>
      <c r="U14" s="11">
        <v>79.900000000000006</v>
      </c>
      <c r="V14" s="11">
        <v>89.1</v>
      </c>
      <c r="W14" s="11">
        <v>106.5</v>
      </c>
      <c r="X14" s="11">
        <v>115.3</v>
      </c>
      <c r="Y14" s="11">
        <v>159.1</v>
      </c>
      <c r="Z14" s="11">
        <v>51.5</v>
      </c>
      <c r="AA14" s="11">
        <v>71.400000000000006</v>
      </c>
    </row>
    <row r="15" spans="1:27" x14ac:dyDescent="0.25">
      <c r="A15">
        <v>2005</v>
      </c>
      <c r="B15" s="7">
        <v>-1</v>
      </c>
      <c r="C15" s="7">
        <v>-2.2999999999999998</v>
      </c>
      <c r="D15" s="7">
        <v>4.5999999999999996</v>
      </c>
      <c r="E15" s="7">
        <v>11.2</v>
      </c>
      <c r="F15" s="7">
        <v>15.7</v>
      </c>
      <c r="G15" s="7">
        <v>19</v>
      </c>
      <c r="H15" s="7">
        <v>20.9</v>
      </c>
      <c r="I15" s="7">
        <v>18.399999999999999</v>
      </c>
      <c r="J15" s="7">
        <v>16.100000000000001</v>
      </c>
      <c r="K15" s="7">
        <v>11.4</v>
      </c>
      <c r="L15" s="7">
        <v>4.9000000000000004</v>
      </c>
      <c r="M15" s="7">
        <v>1.4</v>
      </c>
      <c r="O15">
        <v>2005</v>
      </c>
      <c r="P15">
        <v>30.9</v>
      </c>
      <c r="Q15">
        <v>68.8</v>
      </c>
      <c r="R15">
        <v>54.2</v>
      </c>
      <c r="S15">
        <v>89.5</v>
      </c>
      <c r="T15">
        <v>92.1</v>
      </c>
      <c r="U15">
        <v>103.3</v>
      </c>
      <c r="V15">
        <v>128.6</v>
      </c>
      <c r="W15">
        <v>207.4</v>
      </c>
      <c r="X15">
        <v>133.4</v>
      </c>
      <c r="Y15">
        <v>47.7</v>
      </c>
      <c r="Z15">
        <v>130.30000000000001</v>
      </c>
      <c r="AA15">
        <v>143.30000000000001</v>
      </c>
    </row>
    <row r="16" spans="1:27" x14ac:dyDescent="0.25">
      <c r="A16">
        <v>2006</v>
      </c>
      <c r="B16" s="7">
        <v>-1.8</v>
      </c>
      <c r="C16" s="7">
        <v>1</v>
      </c>
      <c r="D16" s="7">
        <v>5</v>
      </c>
      <c r="E16" s="7">
        <v>11.8</v>
      </c>
      <c r="F16" s="7">
        <v>15.3</v>
      </c>
      <c r="G16" s="7">
        <v>19.5</v>
      </c>
      <c r="H16" s="7">
        <v>22.8</v>
      </c>
      <c r="I16" s="7">
        <v>18.399999999999999</v>
      </c>
      <c r="J16" s="7">
        <v>16.8</v>
      </c>
      <c r="K16" s="7">
        <v>12</v>
      </c>
      <c r="L16" s="7">
        <v>8.5</v>
      </c>
      <c r="M16" s="7">
        <v>3.5</v>
      </c>
      <c r="O16">
        <v>2006</v>
      </c>
      <c r="P16">
        <v>50</v>
      </c>
      <c r="Q16">
        <v>51.2</v>
      </c>
      <c r="R16">
        <v>87.4</v>
      </c>
      <c r="S16">
        <v>187.4</v>
      </c>
      <c r="T16">
        <v>116</v>
      </c>
      <c r="U16">
        <v>47.6</v>
      </c>
      <c r="V16">
        <v>23.9</v>
      </c>
      <c r="W16">
        <v>242.2</v>
      </c>
      <c r="X16">
        <v>58.4</v>
      </c>
      <c r="Y16">
        <v>5.4</v>
      </c>
      <c r="Z16">
        <v>94.5</v>
      </c>
      <c r="AA16">
        <v>47.2</v>
      </c>
    </row>
    <row r="17" spans="1:27" x14ac:dyDescent="0.25">
      <c r="A17">
        <v>2007</v>
      </c>
      <c r="B17" s="7">
        <v>5.0999999999999996</v>
      </c>
      <c r="C17" s="7">
        <v>6.5</v>
      </c>
      <c r="D17" s="7">
        <v>8.1999999999999993</v>
      </c>
      <c r="E17" s="7">
        <v>13.2</v>
      </c>
      <c r="F17" s="7">
        <v>17.3</v>
      </c>
      <c r="G17" s="7">
        <v>21.4</v>
      </c>
      <c r="H17" s="7">
        <v>22.2</v>
      </c>
      <c r="I17" s="7">
        <v>20.3</v>
      </c>
      <c r="J17" s="7">
        <v>14</v>
      </c>
      <c r="K17" s="7">
        <v>9.3000000000000007</v>
      </c>
      <c r="L17" s="7">
        <v>4.3</v>
      </c>
      <c r="M17" s="7">
        <v>-0.1</v>
      </c>
      <c r="O17">
        <v>2007</v>
      </c>
      <c r="P17">
        <v>93.9</v>
      </c>
      <c r="Q17">
        <v>56.5</v>
      </c>
      <c r="R17">
        <v>97.8</v>
      </c>
      <c r="S17">
        <v>3.8</v>
      </c>
      <c r="T17">
        <v>105.6</v>
      </c>
      <c r="U17">
        <v>87.2</v>
      </c>
      <c r="V17">
        <v>71.8</v>
      </c>
      <c r="W17">
        <v>131.19999999999999</v>
      </c>
      <c r="X17">
        <v>179.7</v>
      </c>
      <c r="Y17">
        <v>157.1</v>
      </c>
      <c r="Z17">
        <v>69.5</v>
      </c>
      <c r="AA17">
        <v>94.6</v>
      </c>
    </row>
    <row r="18" spans="1:27" x14ac:dyDescent="0.25">
      <c r="A18">
        <v>2008</v>
      </c>
      <c r="B18" s="7">
        <v>1.8</v>
      </c>
      <c r="C18" s="7">
        <v>4.5</v>
      </c>
      <c r="D18" s="7">
        <v>6.9</v>
      </c>
      <c r="E18" s="7">
        <v>11.4</v>
      </c>
      <c r="F18" s="7">
        <v>16.3</v>
      </c>
      <c r="G18" s="7">
        <v>20.6</v>
      </c>
      <c r="H18" s="7">
        <v>21.2</v>
      </c>
      <c r="I18" s="7">
        <v>20.399999999999999</v>
      </c>
      <c r="J18" s="7">
        <v>14.5</v>
      </c>
      <c r="K18" s="7">
        <v>12.1</v>
      </c>
      <c r="L18" s="7">
        <v>6.9</v>
      </c>
      <c r="M18" s="7">
        <v>2.7</v>
      </c>
      <c r="O18">
        <v>2008</v>
      </c>
      <c r="P18">
        <v>23.8</v>
      </c>
      <c r="Q18">
        <v>19</v>
      </c>
      <c r="R18">
        <v>130.4</v>
      </c>
      <c r="S18">
        <v>52.9</v>
      </c>
      <c r="T18">
        <v>85.2</v>
      </c>
      <c r="U18">
        <v>173.2</v>
      </c>
      <c r="V18">
        <v>123.5</v>
      </c>
      <c r="W18">
        <v>69.3</v>
      </c>
      <c r="X18">
        <v>87.9</v>
      </c>
      <c r="Y18">
        <v>59.7</v>
      </c>
      <c r="Z18">
        <v>133.5</v>
      </c>
      <c r="AA18">
        <v>138</v>
      </c>
    </row>
    <row r="19" spans="1:27" x14ac:dyDescent="0.25">
      <c r="A19">
        <v>2009</v>
      </c>
      <c r="B19" s="7">
        <v>-1.7</v>
      </c>
      <c r="C19" s="7">
        <v>2.4</v>
      </c>
      <c r="D19" s="7">
        <v>6.7</v>
      </c>
      <c r="E19" s="7">
        <v>13.6</v>
      </c>
      <c r="F19" s="7">
        <v>17.899999999999999</v>
      </c>
      <c r="G19" s="7">
        <v>19.100000000000001</v>
      </c>
      <c r="H19" s="7">
        <v>22</v>
      </c>
      <c r="I19" s="7">
        <v>21.8</v>
      </c>
      <c r="J19" s="7">
        <v>17.2</v>
      </c>
      <c r="K19" s="7">
        <v>10.6</v>
      </c>
      <c r="L19" s="7">
        <v>7.8</v>
      </c>
      <c r="M19" s="7">
        <v>2.8</v>
      </c>
      <c r="O19">
        <v>2009</v>
      </c>
      <c r="P19">
        <v>129.6</v>
      </c>
      <c r="Q19">
        <v>52</v>
      </c>
      <c r="R19">
        <v>58</v>
      </c>
      <c r="S19">
        <v>97.7</v>
      </c>
      <c r="T19">
        <v>67.099999999999994</v>
      </c>
      <c r="U19">
        <v>82.9</v>
      </c>
      <c r="V19">
        <v>107.4</v>
      </c>
      <c r="W19">
        <v>80.599999999999994</v>
      </c>
      <c r="X19">
        <v>24.4</v>
      </c>
      <c r="Y19">
        <v>91.6</v>
      </c>
      <c r="Z19">
        <v>106.2</v>
      </c>
      <c r="AA19">
        <v>108.4</v>
      </c>
    </row>
    <row r="20" spans="1:27" x14ac:dyDescent="0.25">
      <c r="A20">
        <v>2010</v>
      </c>
      <c r="B20" s="7">
        <v>-1</v>
      </c>
      <c r="C20" s="7">
        <v>1.4</v>
      </c>
      <c r="D20" s="7">
        <v>6.3</v>
      </c>
      <c r="E20" s="7">
        <v>11.5</v>
      </c>
      <c r="F20" s="7">
        <v>15.8</v>
      </c>
      <c r="G20" s="7">
        <v>19.899999999999999</v>
      </c>
      <c r="H20" s="7">
        <v>22.6</v>
      </c>
      <c r="I20" s="7">
        <v>20.3</v>
      </c>
      <c r="J20" s="7">
        <v>14.4</v>
      </c>
      <c r="K20" s="7">
        <v>8.6999999999999993</v>
      </c>
      <c r="L20" s="7">
        <v>8.1999999999999993</v>
      </c>
      <c r="M20" s="7">
        <v>-1.2</v>
      </c>
      <c r="O20">
        <v>2010</v>
      </c>
      <c r="P20">
        <v>131.6</v>
      </c>
      <c r="Q20">
        <v>102.2</v>
      </c>
      <c r="R20">
        <v>70.2</v>
      </c>
      <c r="S20">
        <v>74.900000000000006</v>
      </c>
      <c r="T20">
        <v>139.30000000000001</v>
      </c>
      <c r="U20">
        <v>133.19999999999999</v>
      </c>
      <c r="V20">
        <v>41.8</v>
      </c>
      <c r="W20">
        <v>100.4</v>
      </c>
      <c r="X20">
        <v>187.2</v>
      </c>
      <c r="Y20">
        <v>68.900000000000006</v>
      </c>
      <c r="Z20">
        <v>138.19999999999999</v>
      </c>
      <c r="AA20">
        <v>84.6</v>
      </c>
    </row>
    <row r="21" spans="1:27" x14ac:dyDescent="0.25">
      <c r="A21">
        <v>2011</v>
      </c>
      <c r="B21" s="7">
        <v>1.7</v>
      </c>
      <c r="C21" s="7">
        <v>0.8</v>
      </c>
      <c r="D21" s="7">
        <v>6.5</v>
      </c>
      <c r="E21" s="7">
        <v>12.8</v>
      </c>
      <c r="F21" s="7">
        <v>15.9</v>
      </c>
      <c r="G21" s="7">
        <v>20.399999999999999</v>
      </c>
      <c r="H21" s="7">
        <v>21.4</v>
      </c>
      <c r="I21" s="7">
        <v>21.8</v>
      </c>
      <c r="J21" s="7">
        <v>18.899999999999999</v>
      </c>
      <c r="K21" s="7">
        <v>9.6999999999999993</v>
      </c>
      <c r="L21" s="7">
        <v>2.9</v>
      </c>
      <c r="M21" s="7">
        <v>3.4</v>
      </c>
      <c r="O21">
        <v>2011</v>
      </c>
      <c r="P21">
        <v>29.8</v>
      </c>
      <c r="Q21">
        <v>18.2</v>
      </c>
      <c r="R21">
        <v>33.700000000000003</v>
      </c>
      <c r="S21">
        <v>62.3</v>
      </c>
      <c r="T21">
        <v>85</v>
      </c>
      <c r="U21">
        <v>138</v>
      </c>
      <c r="V21">
        <v>95.9</v>
      </c>
      <c r="W21">
        <v>28.1</v>
      </c>
      <c r="X21">
        <v>23.7</v>
      </c>
      <c r="Y21">
        <v>116.5</v>
      </c>
      <c r="Z21">
        <v>4.7</v>
      </c>
      <c r="AA21">
        <v>106</v>
      </c>
    </row>
    <row r="22" spans="1:27" x14ac:dyDescent="0.25">
      <c r="A22">
        <v>2012</v>
      </c>
      <c r="B22" s="7">
        <v>1.3</v>
      </c>
      <c r="C22" s="7">
        <v>-3.2</v>
      </c>
      <c r="D22" s="7">
        <v>8.5</v>
      </c>
      <c r="E22" s="7">
        <v>11.9</v>
      </c>
      <c r="F22" s="7">
        <v>15.9</v>
      </c>
      <c r="G22" s="7">
        <v>21.9</v>
      </c>
      <c r="H22" s="7">
        <v>23</v>
      </c>
      <c r="I22" s="7">
        <v>22.4</v>
      </c>
      <c r="J22" s="7">
        <v>16.600000000000001</v>
      </c>
      <c r="K22" s="7">
        <v>11.5</v>
      </c>
      <c r="L22" s="7">
        <v>8.9</v>
      </c>
      <c r="M22" s="7">
        <v>1</v>
      </c>
      <c r="O22">
        <v>2012</v>
      </c>
      <c r="P22">
        <v>20.5</v>
      </c>
      <c r="Q22">
        <v>67.599999999999994</v>
      </c>
      <c r="R22">
        <v>2.2999999999999998</v>
      </c>
      <c r="S22">
        <v>67</v>
      </c>
      <c r="T22">
        <v>146</v>
      </c>
      <c r="U22">
        <v>75.3</v>
      </c>
      <c r="V22">
        <v>88</v>
      </c>
      <c r="W22">
        <v>20.9</v>
      </c>
      <c r="X22">
        <v>233.7</v>
      </c>
      <c r="Y22">
        <v>129.5</v>
      </c>
      <c r="Z22">
        <v>148.9</v>
      </c>
      <c r="AA22">
        <v>98.4</v>
      </c>
    </row>
    <row r="23" spans="1:27" x14ac:dyDescent="0.25">
      <c r="A23">
        <v>2013</v>
      </c>
      <c r="B23" s="7">
        <v>0.8</v>
      </c>
      <c r="C23" s="7">
        <v>0.8</v>
      </c>
      <c r="D23" s="7">
        <v>3.7</v>
      </c>
      <c r="E23" s="7">
        <v>12.6</v>
      </c>
      <c r="F23" s="7">
        <v>15.5</v>
      </c>
      <c r="G23" s="7">
        <v>19.7</v>
      </c>
      <c r="H23" s="7">
        <v>22.4</v>
      </c>
      <c r="I23" s="7">
        <v>21.6</v>
      </c>
      <c r="J23" s="7">
        <v>15.2</v>
      </c>
      <c r="K23" s="7">
        <v>12.5</v>
      </c>
      <c r="L23" s="7">
        <v>7</v>
      </c>
      <c r="M23" s="7">
        <v>2.4</v>
      </c>
      <c r="O23">
        <v>2013</v>
      </c>
      <c r="P23">
        <v>230.6</v>
      </c>
      <c r="Q23">
        <v>168.8</v>
      </c>
      <c r="R23">
        <v>159.5</v>
      </c>
      <c r="S23">
        <v>66</v>
      </c>
      <c r="T23">
        <v>133.4</v>
      </c>
      <c r="U23">
        <v>25.8</v>
      </c>
      <c r="V23">
        <v>64.599999999999994</v>
      </c>
      <c r="W23">
        <v>79</v>
      </c>
      <c r="X23">
        <v>158.6</v>
      </c>
      <c r="Y23">
        <v>42.8</v>
      </c>
      <c r="Z23">
        <v>209.3</v>
      </c>
      <c r="AA23">
        <v>17.899999999999999</v>
      </c>
    </row>
    <row r="24" spans="1:27" x14ac:dyDescent="0.25">
      <c r="A24">
        <v>2014</v>
      </c>
      <c r="B24">
        <v>5.0999999999999996</v>
      </c>
      <c r="C24">
        <v>4.8</v>
      </c>
      <c r="D24">
        <v>9.1999999999999993</v>
      </c>
      <c r="E24">
        <v>12.8</v>
      </c>
      <c r="F24">
        <v>15.2</v>
      </c>
      <c r="G24">
        <v>19.600000000000001</v>
      </c>
      <c r="H24">
        <v>21</v>
      </c>
      <c r="I24">
        <v>19.600000000000001</v>
      </c>
      <c r="J24">
        <v>15.7</v>
      </c>
      <c r="K24">
        <v>13.1</v>
      </c>
      <c r="L24">
        <v>8.9</v>
      </c>
      <c r="M24">
        <v>3.8</v>
      </c>
      <c r="O24">
        <v>2014</v>
      </c>
      <c r="P24">
        <v>84.2</v>
      </c>
      <c r="Q24">
        <v>225.1</v>
      </c>
      <c r="R24">
        <v>36.200000000000003</v>
      </c>
      <c r="S24">
        <v>124.8</v>
      </c>
      <c r="T24">
        <v>154.69999999999999</v>
      </c>
      <c r="U24">
        <v>88.1</v>
      </c>
      <c r="V24">
        <v>135.1</v>
      </c>
      <c r="W24">
        <v>210.3</v>
      </c>
      <c r="X24">
        <v>311.2</v>
      </c>
      <c r="Y24">
        <v>220.2</v>
      </c>
      <c r="Z24">
        <v>121.6</v>
      </c>
      <c r="AA24">
        <v>94.8</v>
      </c>
    </row>
    <row r="25" spans="1:27" x14ac:dyDescent="0.25">
      <c r="A25">
        <v>2015</v>
      </c>
      <c r="B25">
        <v>2.5</v>
      </c>
      <c r="C25">
        <v>1.4</v>
      </c>
      <c r="D25">
        <v>7.2</v>
      </c>
      <c r="E25">
        <v>11.4</v>
      </c>
      <c r="F25">
        <v>17.100000000000001</v>
      </c>
      <c r="G25">
        <v>20.2</v>
      </c>
      <c r="H25">
        <v>23.6</v>
      </c>
      <c r="I25">
        <v>22.1</v>
      </c>
      <c r="J25">
        <v>16.399999999999999</v>
      </c>
      <c r="K25">
        <v>10.7</v>
      </c>
      <c r="L25">
        <v>6.4</v>
      </c>
      <c r="M25">
        <v>2.5</v>
      </c>
      <c r="O25">
        <v>2015</v>
      </c>
      <c r="P25">
        <v>95</v>
      </c>
      <c r="Q25">
        <v>114.6</v>
      </c>
      <c r="R25">
        <v>63.2</v>
      </c>
      <c r="S25">
        <v>44.1</v>
      </c>
      <c r="T25">
        <v>184.4</v>
      </c>
      <c r="U25">
        <v>70.599999999999994</v>
      </c>
      <c r="V25">
        <v>87.4</v>
      </c>
      <c r="W25">
        <v>128.5</v>
      </c>
      <c r="X25">
        <v>100.2</v>
      </c>
      <c r="Y25">
        <v>269.8</v>
      </c>
      <c r="Z25">
        <v>69.7</v>
      </c>
      <c r="AA25">
        <v>1.2</v>
      </c>
    </row>
    <row r="26" spans="1:27" x14ac:dyDescent="0.25">
      <c r="A26">
        <v>2016</v>
      </c>
      <c r="B26">
        <v>1</v>
      </c>
      <c r="C26">
        <v>6.3</v>
      </c>
      <c r="D26">
        <v>7.2</v>
      </c>
      <c r="E26">
        <v>12</v>
      </c>
      <c r="F26">
        <v>15.5</v>
      </c>
      <c r="G26">
        <v>20.399999999999999</v>
      </c>
      <c r="H26">
        <v>22.8</v>
      </c>
      <c r="I26">
        <v>19.8</v>
      </c>
      <c r="J26">
        <v>17.2</v>
      </c>
      <c r="K26">
        <v>9.8000000000000007</v>
      </c>
      <c r="L26">
        <v>6.5</v>
      </c>
      <c r="M26">
        <v>-1</v>
      </c>
      <c r="O26">
        <v>2016</v>
      </c>
      <c r="P26">
        <v>84.4</v>
      </c>
      <c r="Q26">
        <v>207.1</v>
      </c>
      <c r="R26">
        <v>87.9</v>
      </c>
      <c r="S26">
        <v>62.9</v>
      </c>
      <c r="T26">
        <v>121.4</v>
      </c>
      <c r="U26">
        <v>109.5</v>
      </c>
      <c r="V26">
        <v>55.4</v>
      </c>
      <c r="W26">
        <v>111.6</v>
      </c>
      <c r="X26">
        <v>95</v>
      </c>
      <c r="Y26">
        <v>144</v>
      </c>
      <c r="Z26">
        <v>127.2</v>
      </c>
      <c r="AA26">
        <v>3.2</v>
      </c>
    </row>
    <row r="27" spans="1:27" x14ac:dyDescent="0.25">
      <c r="A27">
        <v>2017</v>
      </c>
      <c r="B27">
        <v>-4</v>
      </c>
      <c r="C27">
        <v>4.7</v>
      </c>
      <c r="D27">
        <v>8.6999999999999993</v>
      </c>
      <c r="E27">
        <v>11.4</v>
      </c>
      <c r="F27">
        <v>16.7</v>
      </c>
      <c r="G27">
        <v>22</v>
      </c>
      <c r="H27">
        <v>23.2</v>
      </c>
      <c r="I27">
        <v>22.5</v>
      </c>
      <c r="J27">
        <v>14.5</v>
      </c>
      <c r="K27">
        <v>10.8</v>
      </c>
      <c r="L27">
        <v>6.2</v>
      </c>
      <c r="M27">
        <v>3.5</v>
      </c>
      <c r="O27">
        <v>2017</v>
      </c>
      <c r="P27">
        <v>53</v>
      </c>
      <c r="Q27">
        <v>69.5</v>
      </c>
      <c r="R27">
        <v>48.3</v>
      </c>
      <c r="S27">
        <v>74.900000000000006</v>
      </c>
      <c r="T27">
        <v>67.8</v>
      </c>
      <c r="U27">
        <v>67.099999999999994</v>
      </c>
      <c r="V27">
        <v>32.299999999999997</v>
      </c>
      <c r="W27">
        <v>102.3</v>
      </c>
      <c r="X27">
        <v>295.3</v>
      </c>
      <c r="Y27">
        <v>73.2</v>
      </c>
      <c r="Z27">
        <v>184.9</v>
      </c>
      <c r="AA27">
        <v>99</v>
      </c>
    </row>
    <row r="28" spans="1:27" x14ac:dyDescent="0.25">
      <c r="A28">
        <v>2018</v>
      </c>
      <c r="B28">
        <v>4.7</v>
      </c>
      <c r="C28">
        <v>-0.6</v>
      </c>
      <c r="D28">
        <v>4.5</v>
      </c>
      <c r="E28">
        <v>14.9</v>
      </c>
      <c r="F28">
        <v>18.600000000000001</v>
      </c>
      <c r="G28">
        <v>20.5</v>
      </c>
      <c r="H28">
        <v>21.8</v>
      </c>
      <c r="I28">
        <v>22.2</v>
      </c>
      <c r="J28">
        <v>16.2</v>
      </c>
      <c r="K28">
        <v>12.3</v>
      </c>
      <c r="L28">
        <v>7.4</v>
      </c>
      <c r="M28">
        <v>1.5</v>
      </c>
      <c r="O28">
        <v>2018</v>
      </c>
      <c r="P28">
        <v>70.2</v>
      </c>
      <c r="Q28">
        <v>192.1</v>
      </c>
      <c r="R28">
        <v>72.8</v>
      </c>
      <c r="S28">
        <v>57.2</v>
      </c>
      <c r="T28">
        <v>108.7</v>
      </c>
      <c r="U28">
        <v>133.1</v>
      </c>
      <c r="V28">
        <v>89.7</v>
      </c>
      <c r="W28">
        <v>55.7</v>
      </c>
      <c r="X28">
        <v>60.1</v>
      </c>
      <c r="Y28">
        <v>58.3</v>
      </c>
      <c r="Z28">
        <v>79.099999999999994</v>
      </c>
      <c r="AA28">
        <v>40.1</v>
      </c>
    </row>
    <row r="29" spans="1:27" x14ac:dyDescent="0.25">
      <c r="A29">
        <v>2019</v>
      </c>
      <c r="B29">
        <v>0.5</v>
      </c>
      <c r="C29">
        <v>3.9</v>
      </c>
      <c r="D29">
        <v>8.4</v>
      </c>
      <c r="E29">
        <v>11</v>
      </c>
      <c r="F29">
        <v>13.4</v>
      </c>
      <c r="G29">
        <v>22.6</v>
      </c>
      <c r="H29">
        <v>22</v>
      </c>
      <c r="I29">
        <v>22.1</v>
      </c>
      <c r="J29">
        <v>16.3</v>
      </c>
      <c r="K29">
        <v>12.7</v>
      </c>
      <c r="L29">
        <v>8.5</v>
      </c>
      <c r="M29">
        <v>3.8</v>
      </c>
      <c r="O29">
        <v>2019</v>
      </c>
      <c r="P29">
        <v>52.5</v>
      </c>
      <c r="Q29">
        <v>25.4</v>
      </c>
      <c r="R29">
        <v>63.6</v>
      </c>
      <c r="S29">
        <v>143.4</v>
      </c>
      <c r="T29">
        <v>170.1</v>
      </c>
      <c r="U29">
        <v>73.8</v>
      </c>
      <c r="V29">
        <v>85.4</v>
      </c>
      <c r="W29">
        <v>81.5</v>
      </c>
      <c r="X29">
        <v>101.8</v>
      </c>
      <c r="Y29">
        <v>55.6</v>
      </c>
      <c r="Z29">
        <v>193.2</v>
      </c>
      <c r="AA29">
        <v>117.9</v>
      </c>
    </row>
    <row r="30" spans="1:27" x14ac:dyDescent="0.25">
      <c r="A30">
        <v>2020</v>
      </c>
      <c r="B30">
        <v>0.7</v>
      </c>
      <c r="C30">
        <v>6.5</v>
      </c>
      <c r="D30">
        <v>7.3</v>
      </c>
      <c r="E30">
        <v>11.9</v>
      </c>
      <c r="F30">
        <v>15.1</v>
      </c>
      <c r="G30">
        <v>19.899999999999999</v>
      </c>
      <c r="H30">
        <v>21.3</v>
      </c>
      <c r="I30">
        <v>22.2</v>
      </c>
      <c r="J30">
        <v>16.7</v>
      </c>
      <c r="K30">
        <v>11.7</v>
      </c>
      <c r="L30">
        <v>5.0999999999999996</v>
      </c>
      <c r="M30">
        <v>3.4</v>
      </c>
      <c r="O30">
        <v>2020</v>
      </c>
      <c r="P30">
        <v>4.0999999999999996</v>
      </c>
      <c r="Q30">
        <v>52.3</v>
      </c>
      <c r="R30">
        <v>21.9</v>
      </c>
      <c r="S30">
        <v>15.1</v>
      </c>
      <c r="T30">
        <v>111.2</v>
      </c>
      <c r="U30">
        <v>74.099999999999994</v>
      </c>
      <c r="V30">
        <v>57.8</v>
      </c>
      <c r="W30">
        <v>111.9</v>
      </c>
      <c r="X30">
        <v>112.3</v>
      </c>
      <c r="Y30">
        <v>202.6</v>
      </c>
      <c r="Z30">
        <v>52.7</v>
      </c>
      <c r="AA30">
        <v>111.4</v>
      </c>
    </row>
    <row r="31" spans="1:27" x14ac:dyDescent="0.25">
      <c r="A31">
        <v>2021</v>
      </c>
      <c r="B31">
        <v>2</v>
      </c>
      <c r="C31">
        <v>4.9000000000000004</v>
      </c>
      <c r="D31">
        <v>6</v>
      </c>
      <c r="E31">
        <v>9.1</v>
      </c>
      <c r="F31">
        <v>14.4</v>
      </c>
      <c r="G31">
        <v>22.4</v>
      </c>
      <c r="H31">
        <v>23.1</v>
      </c>
      <c r="I31">
        <v>20.399999999999999</v>
      </c>
      <c r="J31">
        <v>16.2</v>
      </c>
      <c r="K31">
        <v>9</v>
      </c>
      <c r="L31">
        <v>5.9</v>
      </c>
      <c r="M31">
        <v>3</v>
      </c>
      <c r="O31">
        <v>2021</v>
      </c>
      <c r="P31">
        <v>108.6</v>
      </c>
      <c r="Q31">
        <v>58.4</v>
      </c>
      <c r="R31">
        <v>61.6</v>
      </c>
      <c r="S31">
        <v>102.2</v>
      </c>
      <c r="T31">
        <v>117</v>
      </c>
      <c r="U31">
        <v>3.8</v>
      </c>
      <c r="V31">
        <v>84.9</v>
      </c>
      <c r="W31">
        <v>67</v>
      </c>
      <c r="X31">
        <v>58.2</v>
      </c>
      <c r="Y31">
        <v>86.9</v>
      </c>
      <c r="Z31">
        <v>103.3</v>
      </c>
      <c r="AA31">
        <v>107.6</v>
      </c>
    </row>
    <row r="32" spans="1:27" x14ac:dyDescent="0.25">
      <c r="A32">
        <v>2022</v>
      </c>
      <c r="B32">
        <v>0.9</v>
      </c>
      <c r="C32">
        <v>4.5999999999999996</v>
      </c>
      <c r="D32">
        <v>5.2</v>
      </c>
      <c r="E32">
        <v>10.5</v>
      </c>
      <c r="F32">
        <v>17.899999999999999</v>
      </c>
      <c r="G32">
        <v>22.3</v>
      </c>
      <c r="H32">
        <v>22.3</v>
      </c>
      <c r="I32">
        <v>22</v>
      </c>
      <c r="J32">
        <v>16</v>
      </c>
      <c r="K32">
        <v>13.2</v>
      </c>
      <c r="L32">
        <v>7.6</v>
      </c>
      <c r="M32">
        <v>4.4000000000000004</v>
      </c>
      <c r="O32">
        <v>2022</v>
      </c>
      <c r="P32">
        <v>40.5</v>
      </c>
      <c r="Q32">
        <v>60.6</v>
      </c>
      <c r="R32">
        <v>9.1999999999999993</v>
      </c>
      <c r="S32">
        <v>92.8</v>
      </c>
      <c r="T32">
        <v>102.5</v>
      </c>
      <c r="U32">
        <v>113.7</v>
      </c>
      <c r="V32">
        <v>53.5</v>
      </c>
      <c r="W32">
        <v>20.3</v>
      </c>
      <c r="X32">
        <v>301.2</v>
      </c>
      <c r="Y32">
        <v>43.5</v>
      </c>
      <c r="Z32">
        <v>162.30000000000001</v>
      </c>
      <c r="AA32">
        <v>149.4</v>
      </c>
    </row>
    <row r="33" spans="1:27" x14ac:dyDescent="0.25">
      <c r="A33">
        <v>2023</v>
      </c>
      <c r="B33">
        <v>4</v>
      </c>
      <c r="C33">
        <v>3.1</v>
      </c>
      <c r="D33">
        <v>8.4</v>
      </c>
      <c r="E33">
        <v>10.199999999999999</v>
      </c>
      <c r="F33">
        <v>15.7</v>
      </c>
      <c r="G33">
        <v>20.8</v>
      </c>
      <c r="H33">
        <v>23.4</v>
      </c>
      <c r="I33">
        <v>21.7</v>
      </c>
      <c r="J33">
        <v>18.7</v>
      </c>
      <c r="K33">
        <v>15.4</v>
      </c>
      <c r="L33">
        <v>7.3</v>
      </c>
      <c r="M33">
        <v>4.2</v>
      </c>
      <c r="O33">
        <v>2023</v>
      </c>
      <c r="P33">
        <v>199.9</v>
      </c>
      <c r="Q33">
        <v>50.2</v>
      </c>
      <c r="R33">
        <v>71.400000000000006</v>
      </c>
      <c r="S33">
        <v>125.6</v>
      </c>
      <c r="T33">
        <v>164.8</v>
      </c>
      <c r="U33">
        <v>97.8</v>
      </c>
      <c r="V33">
        <v>142.1</v>
      </c>
      <c r="W33">
        <v>142.4</v>
      </c>
      <c r="X33">
        <v>57.7</v>
      </c>
      <c r="Y33">
        <v>55</v>
      </c>
      <c r="Z33">
        <v>122.9</v>
      </c>
      <c r="AA33">
        <v>94</v>
      </c>
    </row>
    <row r="34" spans="1:27" x14ac:dyDescent="0.25">
      <c r="A34">
        <v>2024</v>
      </c>
      <c r="B34">
        <v>1.6</v>
      </c>
      <c r="C34">
        <v>8.1999999999999993</v>
      </c>
      <c r="D34">
        <v>9.9</v>
      </c>
      <c r="E34">
        <v>12.9</v>
      </c>
      <c r="F34">
        <v>17.2</v>
      </c>
      <c r="G34">
        <v>21.7</v>
      </c>
      <c r="H34">
        <v>24.3</v>
      </c>
      <c r="I34">
        <v>24.2</v>
      </c>
      <c r="J34">
        <v>17.2</v>
      </c>
      <c r="K34">
        <v>13.1</v>
      </c>
      <c r="L34">
        <v>5.0999999999999996</v>
      </c>
      <c r="M34">
        <v>2.6</v>
      </c>
      <c r="O34">
        <v>2024</v>
      </c>
      <c r="P34">
        <v>74.5</v>
      </c>
      <c r="Q34">
        <v>18.7</v>
      </c>
      <c r="R34">
        <v>106.3</v>
      </c>
      <c r="S34">
        <v>38.6</v>
      </c>
      <c r="T34">
        <v>162.30000000000001</v>
      </c>
      <c r="U34">
        <v>117.8</v>
      </c>
      <c r="V34">
        <v>43.2</v>
      </c>
      <c r="W34">
        <v>87.6</v>
      </c>
      <c r="X34">
        <v>186.1</v>
      </c>
      <c r="Y34">
        <v>116.6</v>
      </c>
      <c r="Z34">
        <v>89.6</v>
      </c>
      <c r="AA34">
        <v>77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3E53-36A8-4951-9147-CB2368BA5115}">
  <dimension ref="A1:AA66"/>
  <sheetViews>
    <sheetView topLeftCell="A17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4.4000000000000012</v>
      </c>
      <c r="C2" s="4">
        <f t="shared" ref="C2:L2" si="0">AVERAGE(C5:C46)</f>
        <v>5.72</v>
      </c>
      <c r="D2" s="4">
        <f t="shared" si="0"/>
        <v>8.7533333333333321</v>
      </c>
      <c r="E2" s="4">
        <f t="shared" si="0"/>
        <v>12.496666666666666</v>
      </c>
      <c r="F2" s="4">
        <f t="shared" si="0"/>
        <v>16.940000000000001</v>
      </c>
      <c r="G2" s="4">
        <f t="shared" si="0"/>
        <v>21.496666666666666</v>
      </c>
      <c r="H2" s="4">
        <f t="shared" si="0"/>
        <v>24.153333333333322</v>
      </c>
      <c r="I2" s="4">
        <f t="shared" si="0"/>
        <v>23.709999999999997</v>
      </c>
      <c r="J2" s="4">
        <f t="shared" si="0"/>
        <v>18.336666666666666</v>
      </c>
      <c r="K2" s="4">
        <f t="shared" si="0"/>
        <v>13.900000000000004</v>
      </c>
      <c r="L2" s="4">
        <f t="shared" si="0"/>
        <v>9.4133333333333322</v>
      </c>
      <c r="M2" s="4">
        <f>AVERAGE(M5:M46)</f>
        <v>5.5900000000000016</v>
      </c>
      <c r="O2" s="30"/>
      <c r="P2" s="4">
        <f>AVERAGE(P5:P46)</f>
        <v>92.446666666666658</v>
      </c>
      <c r="Q2" s="4">
        <f t="shared" ref="Q2:Z2" si="1">AVERAGE(Q5:Q46)</f>
        <v>76.183333333333337</v>
      </c>
      <c r="R2" s="4">
        <f t="shared" si="1"/>
        <v>71.640000000000015</v>
      </c>
      <c r="S2" s="4">
        <f t="shared" si="1"/>
        <v>88.48333333333332</v>
      </c>
      <c r="T2" s="4">
        <f t="shared" si="1"/>
        <v>88.663333333333341</v>
      </c>
      <c r="U2" s="4">
        <f t="shared" si="1"/>
        <v>78.61666666666666</v>
      </c>
      <c r="V2" s="4">
        <f t="shared" si="1"/>
        <v>40.133333333333333</v>
      </c>
      <c r="W2" s="4">
        <f t="shared" si="1"/>
        <v>72.86666666666666</v>
      </c>
      <c r="X2" s="4">
        <f t="shared" si="1"/>
        <v>111.78000000000002</v>
      </c>
      <c r="Y2" s="4">
        <f t="shared" si="1"/>
        <v>89.84333333333332</v>
      </c>
      <c r="Z2" s="4">
        <f t="shared" si="1"/>
        <v>144.07999999999998</v>
      </c>
      <c r="AA2" s="4">
        <f>AVERAGE(AA5:AA46)</f>
        <v>118.52333333333333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16">
        <v>3.7</v>
      </c>
      <c r="C5" s="16">
        <v>8.1</v>
      </c>
      <c r="D5" s="16">
        <v>7.1</v>
      </c>
      <c r="E5" s="16">
        <v>10.8</v>
      </c>
      <c r="F5" s="16">
        <v>15.7</v>
      </c>
      <c r="G5" s="16">
        <v>18.600000000000001</v>
      </c>
      <c r="H5" s="16">
        <v>24.1</v>
      </c>
      <c r="I5" s="16">
        <v>22.1</v>
      </c>
      <c r="J5" s="16">
        <v>16.3</v>
      </c>
      <c r="K5" s="16">
        <v>14.4</v>
      </c>
      <c r="L5" s="16">
        <v>7.1</v>
      </c>
      <c r="M5" s="16">
        <v>5.2</v>
      </c>
      <c r="O5">
        <v>1995</v>
      </c>
      <c r="P5" s="2">
        <v>91.3</v>
      </c>
      <c r="Q5" s="2">
        <v>97</v>
      </c>
      <c r="R5" s="2">
        <v>106.4</v>
      </c>
      <c r="S5" s="2">
        <v>61.6</v>
      </c>
      <c r="T5" s="2">
        <v>119.9</v>
      </c>
      <c r="U5" s="2">
        <v>162.30000000000001</v>
      </c>
      <c r="V5" s="2">
        <v>51.7</v>
      </c>
      <c r="W5" s="2">
        <v>66.2</v>
      </c>
      <c r="X5" s="2">
        <v>113</v>
      </c>
      <c r="Y5" s="2">
        <v>11.7</v>
      </c>
      <c r="Z5" s="2">
        <v>83.9</v>
      </c>
      <c r="AA5" s="2">
        <v>141.5</v>
      </c>
    </row>
    <row r="6" spans="1:27" x14ac:dyDescent="0.25">
      <c r="A6">
        <v>1996</v>
      </c>
      <c r="B6" s="16">
        <v>4.5999999999999996</v>
      </c>
      <c r="C6" s="16">
        <v>2.8</v>
      </c>
      <c r="D6" s="16">
        <v>5.8</v>
      </c>
      <c r="E6" s="16">
        <v>12</v>
      </c>
      <c r="F6" s="16">
        <v>16.899999999999999</v>
      </c>
      <c r="G6" s="16">
        <v>20.9</v>
      </c>
      <c r="H6" s="16">
        <v>22.6</v>
      </c>
      <c r="I6" s="16">
        <v>22.1</v>
      </c>
      <c r="J6" s="16">
        <v>14.4</v>
      </c>
      <c r="K6" s="16">
        <v>12.8</v>
      </c>
      <c r="L6" s="16">
        <v>9.8000000000000007</v>
      </c>
      <c r="M6" s="16">
        <v>3.9</v>
      </c>
      <c r="O6">
        <v>1996</v>
      </c>
      <c r="P6" s="2">
        <v>95.3</v>
      </c>
      <c r="Q6" s="2">
        <v>44.1</v>
      </c>
      <c r="R6" s="2">
        <v>72.599999999999994</v>
      </c>
      <c r="S6" s="2">
        <v>32.700000000000003</v>
      </c>
      <c r="T6" s="2">
        <v>111</v>
      </c>
      <c r="U6" s="2">
        <v>35.1</v>
      </c>
      <c r="V6" s="2">
        <v>9.6</v>
      </c>
      <c r="W6" s="2">
        <v>66.2</v>
      </c>
      <c r="X6" s="2">
        <v>278.60000000000002</v>
      </c>
      <c r="Y6" s="2">
        <v>96.7</v>
      </c>
      <c r="Z6" s="2">
        <v>172.7</v>
      </c>
      <c r="AA6" s="2">
        <v>122.1</v>
      </c>
    </row>
    <row r="7" spans="1:27" x14ac:dyDescent="0.25">
      <c r="A7">
        <v>1997</v>
      </c>
      <c r="B7" s="16">
        <v>5</v>
      </c>
      <c r="C7" s="16">
        <v>6</v>
      </c>
      <c r="D7" s="16">
        <v>9.6999999999999993</v>
      </c>
      <c r="E7" s="16">
        <v>7.9</v>
      </c>
      <c r="F7" s="16">
        <v>16.399999999999999</v>
      </c>
      <c r="G7" s="16">
        <v>21.2</v>
      </c>
      <c r="H7" s="16">
        <v>22.1</v>
      </c>
      <c r="I7" s="16">
        <v>21.4</v>
      </c>
      <c r="J7" s="16">
        <v>18.7</v>
      </c>
      <c r="K7" s="16">
        <v>11.3</v>
      </c>
      <c r="L7" s="16">
        <v>9.1999999999999993</v>
      </c>
      <c r="M7" s="16">
        <v>6.2</v>
      </c>
      <c r="O7">
        <v>1997</v>
      </c>
      <c r="P7" s="2">
        <v>54.9</v>
      </c>
      <c r="Q7" s="2">
        <v>54.7</v>
      </c>
      <c r="R7" s="2">
        <v>17.5</v>
      </c>
      <c r="S7" s="2">
        <v>93.5</v>
      </c>
      <c r="T7" s="2">
        <v>104.1</v>
      </c>
      <c r="U7" s="2">
        <v>57.1</v>
      </c>
      <c r="V7" s="2">
        <v>55.8</v>
      </c>
      <c r="W7" s="2">
        <v>74.2</v>
      </c>
      <c r="X7" s="2">
        <v>50.6</v>
      </c>
      <c r="Y7" s="2">
        <v>60.7</v>
      </c>
      <c r="Z7" s="2">
        <v>151.5</v>
      </c>
      <c r="AA7" s="2">
        <v>150.69999999999999</v>
      </c>
    </row>
    <row r="8" spans="1:27" x14ac:dyDescent="0.25">
      <c r="A8">
        <v>1998</v>
      </c>
      <c r="B8" s="16">
        <v>5.7</v>
      </c>
      <c r="C8" s="16">
        <v>8.1999999999999993</v>
      </c>
      <c r="D8" s="16">
        <v>6.9</v>
      </c>
      <c r="E8" s="16">
        <v>11.9</v>
      </c>
      <c r="F8" s="16">
        <v>16.5</v>
      </c>
      <c r="G8" s="16">
        <v>21</v>
      </c>
      <c r="H8" s="16">
        <v>24</v>
      </c>
      <c r="I8" s="16">
        <v>24.2</v>
      </c>
      <c r="J8" s="16">
        <v>17</v>
      </c>
      <c r="K8" s="16">
        <v>13.4</v>
      </c>
      <c r="L8" s="16">
        <v>6.2</v>
      </c>
      <c r="M8" s="16">
        <v>2.2999999999999998</v>
      </c>
      <c r="O8">
        <v>1998</v>
      </c>
      <c r="P8" s="2">
        <v>53.9</v>
      </c>
      <c r="Q8" s="2">
        <v>5.4</v>
      </c>
      <c r="R8" s="2">
        <v>16.5</v>
      </c>
      <c r="S8" s="2">
        <v>149.6</v>
      </c>
      <c r="T8" s="2">
        <v>52.8</v>
      </c>
      <c r="U8" s="2">
        <v>98.4</v>
      </c>
      <c r="V8" s="2">
        <v>24.1</v>
      </c>
      <c r="W8" s="2">
        <v>31.9</v>
      </c>
      <c r="X8" s="2">
        <v>221.5</v>
      </c>
      <c r="Y8" s="2">
        <v>148.80000000000001</v>
      </c>
      <c r="Z8" s="2">
        <v>67.5</v>
      </c>
      <c r="AA8" s="2">
        <v>60.8</v>
      </c>
    </row>
    <row r="9" spans="1:27" x14ac:dyDescent="0.25">
      <c r="A9">
        <v>1999</v>
      </c>
      <c r="B9" s="16">
        <v>4.3</v>
      </c>
      <c r="C9" s="16">
        <v>2.7</v>
      </c>
      <c r="D9" s="16">
        <v>8.9</v>
      </c>
      <c r="E9" s="16">
        <v>12.3</v>
      </c>
      <c r="F9" s="16">
        <v>17.3</v>
      </c>
      <c r="G9" s="16">
        <v>20.9</v>
      </c>
      <c r="H9" s="16">
        <v>23</v>
      </c>
      <c r="I9" s="16">
        <v>23.2</v>
      </c>
      <c r="J9" s="16">
        <v>19.100000000000001</v>
      </c>
      <c r="K9" s="16">
        <v>13.9</v>
      </c>
      <c r="L9" s="16">
        <v>7</v>
      </c>
      <c r="M9" s="16">
        <v>5.0999999999999996</v>
      </c>
      <c r="O9">
        <v>1999</v>
      </c>
      <c r="P9" s="2">
        <v>87.9</v>
      </c>
      <c r="Q9" s="2">
        <v>94</v>
      </c>
      <c r="R9" s="2">
        <v>44.7</v>
      </c>
      <c r="S9" s="2">
        <v>141.5</v>
      </c>
      <c r="T9" s="2">
        <v>127.8</v>
      </c>
      <c r="U9" s="2">
        <v>48.6</v>
      </c>
      <c r="V9" s="2">
        <v>64.3</v>
      </c>
      <c r="W9" s="2">
        <v>75.7</v>
      </c>
      <c r="X9" s="2">
        <v>81.2</v>
      </c>
      <c r="Y9" s="2">
        <v>64.8</v>
      </c>
      <c r="Z9" s="2">
        <v>152.5</v>
      </c>
      <c r="AA9" s="2">
        <v>150.69999999999999</v>
      </c>
    </row>
    <row r="10" spans="1:27" x14ac:dyDescent="0.25">
      <c r="A10">
        <v>2000</v>
      </c>
      <c r="B10" s="16">
        <v>1.7</v>
      </c>
      <c r="C10" s="16">
        <v>5.6</v>
      </c>
      <c r="D10" s="16">
        <v>7.5</v>
      </c>
      <c r="E10" s="16">
        <v>13.7</v>
      </c>
      <c r="F10" s="16">
        <v>18</v>
      </c>
      <c r="G10" s="16">
        <v>22.1</v>
      </c>
      <c r="H10" s="16">
        <v>22.5</v>
      </c>
      <c r="I10" s="16">
        <v>24.9</v>
      </c>
      <c r="J10" s="16">
        <v>18.3</v>
      </c>
      <c r="K10" s="16">
        <v>15.1</v>
      </c>
      <c r="L10" s="16">
        <v>11.4</v>
      </c>
      <c r="M10" s="16">
        <v>7.1</v>
      </c>
      <c r="O10">
        <v>2000</v>
      </c>
      <c r="P10" s="16">
        <v>23.4</v>
      </c>
      <c r="Q10" s="16">
        <v>25.7</v>
      </c>
      <c r="R10" s="16">
        <v>93.9</v>
      </c>
      <c r="S10" s="16">
        <v>93</v>
      </c>
      <c r="T10" s="16">
        <v>101</v>
      </c>
      <c r="U10" s="16">
        <v>5.7</v>
      </c>
      <c r="V10" s="16">
        <v>30.7</v>
      </c>
      <c r="W10" s="16">
        <v>0</v>
      </c>
      <c r="X10" s="16">
        <v>75</v>
      </c>
      <c r="Y10" s="16">
        <v>85.1</v>
      </c>
      <c r="Z10" s="16">
        <v>190.7</v>
      </c>
      <c r="AA10" s="16">
        <v>147.1</v>
      </c>
    </row>
    <row r="11" spans="1:27" x14ac:dyDescent="0.25">
      <c r="A11">
        <v>2001</v>
      </c>
      <c r="B11" s="16">
        <v>6.3</v>
      </c>
      <c r="C11" s="16">
        <v>6.2</v>
      </c>
      <c r="D11" s="16">
        <v>11.3</v>
      </c>
      <c r="E11" s="16">
        <v>11.1</v>
      </c>
      <c r="F11" s="16">
        <v>18.5</v>
      </c>
      <c r="G11" s="16">
        <v>19.7</v>
      </c>
      <c r="H11" s="16">
        <v>23.9</v>
      </c>
      <c r="I11" s="16">
        <v>24.8</v>
      </c>
      <c r="J11" s="16">
        <v>15.5</v>
      </c>
      <c r="K11" s="16">
        <v>15.1</v>
      </c>
      <c r="L11" s="16">
        <v>7.2</v>
      </c>
      <c r="M11" s="16">
        <v>1.7</v>
      </c>
      <c r="O11">
        <v>2001</v>
      </c>
      <c r="P11" s="16">
        <v>119.7</v>
      </c>
      <c r="Q11" s="16">
        <v>18.7</v>
      </c>
      <c r="R11" s="16">
        <v>115.8</v>
      </c>
      <c r="S11" s="16">
        <v>123.2</v>
      </c>
      <c r="T11" s="16">
        <v>58.7</v>
      </c>
      <c r="U11" s="16">
        <v>53.8</v>
      </c>
      <c r="V11" s="16">
        <v>16.600000000000001</v>
      </c>
      <c r="W11" s="16">
        <v>9.9</v>
      </c>
      <c r="X11" s="16">
        <v>172.3</v>
      </c>
      <c r="Y11" s="16">
        <v>33.5</v>
      </c>
      <c r="Z11" s="16">
        <v>152</v>
      </c>
      <c r="AA11" s="16">
        <v>43</v>
      </c>
    </row>
    <row r="12" spans="1:27" x14ac:dyDescent="0.25">
      <c r="A12">
        <v>2002</v>
      </c>
      <c r="B12" s="17">
        <v>2.4</v>
      </c>
      <c r="C12" s="17">
        <v>7.3</v>
      </c>
      <c r="D12" s="17">
        <v>10.9</v>
      </c>
      <c r="E12" s="17">
        <v>11.6</v>
      </c>
      <c r="F12" s="17">
        <v>17.3</v>
      </c>
      <c r="G12" s="17">
        <v>22.4</v>
      </c>
      <c r="H12" s="17">
        <v>23.2</v>
      </c>
      <c r="I12" s="17">
        <v>21.2</v>
      </c>
      <c r="J12" s="17">
        <v>16.600000000000001</v>
      </c>
      <c r="K12" s="17">
        <v>13.3</v>
      </c>
      <c r="L12" s="17">
        <v>11.8</v>
      </c>
      <c r="M12" s="17">
        <v>5.2</v>
      </c>
      <c r="O12">
        <v>2002</v>
      </c>
      <c r="P12" s="17">
        <v>11</v>
      </c>
      <c r="Q12" s="17">
        <v>107</v>
      </c>
      <c r="R12" s="17">
        <v>1</v>
      </c>
      <c r="S12" s="17">
        <v>100</v>
      </c>
      <c r="T12" s="17">
        <v>107</v>
      </c>
      <c r="U12" s="17">
        <v>34</v>
      </c>
      <c r="V12" s="17">
        <v>92</v>
      </c>
      <c r="W12" s="17">
        <v>255</v>
      </c>
      <c r="X12" s="17">
        <v>111</v>
      </c>
      <c r="Y12" s="17">
        <v>66</v>
      </c>
      <c r="Z12" s="17">
        <v>114</v>
      </c>
      <c r="AA12" s="17">
        <v>86</v>
      </c>
    </row>
    <row r="13" spans="1:27" x14ac:dyDescent="0.25">
      <c r="A13">
        <v>2003</v>
      </c>
      <c r="B13" s="17">
        <v>3.2</v>
      </c>
      <c r="C13" s="17">
        <v>1.5</v>
      </c>
      <c r="D13" s="17">
        <v>8.1999999999999993</v>
      </c>
      <c r="E13" s="17">
        <v>11.6</v>
      </c>
      <c r="F13" s="17">
        <v>19.5</v>
      </c>
      <c r="G13" s="17">
        <v>24.5</v>
      </c>
      <c r="H13" s="17">
        <v>24.7</v>
      </c>
      <c r="I13" s="17">
        <v>26.9</v>
      </c>
      <c r="J13" s="17">
        <v>17.600000000000001</v>
      </c>
      <c r="K13" s="17">
        <v>11.7</v>
      </c>
      <c r="L13" s="17">
        <v>11.2</v>
      </c>
      <c r="M13" s="17">
        <v>5.7</v>
      </c>
      <c r="O13">
        <v>2003</v>
      </c>
      <c r="P13" s="17">
        <v>184.2</v>
      </c>
      <c r="Q13" s="17">
        <v>16.2</v>
      </c>
      <c r="R13" s="17">
        <v>5.6</v>
      </c>
      <c r="S13" s="17">
        <v>29.4</v>
      </c>
      <c r="T13" s="17">
        <v>30.9</v>
      </c>
      <c r="U13" s="17">
        <v>123</v>
      </c>
      <c r="V13" s="17">
        <v>14.8</v>
      </c>
      <c r="W13" s="17">
        <v>16</v>
      </c>
      <c r="X13" s="17">
        <v>79.900000000000006</v>
      </c>
      <c r="Y13" s="17">
        <v>181</v>
      </c>
      <c r="Z13" s="17">
        <v>126.5</v>
      </c>
      <c r="AA13" s="17">
        <v>36.9</v>
      </c>
    </row>
    <row r="14" spans="1:27" x14ac:dyDescent="0.25">
      <c r="A14">
        <v>2004</v>
      </c>
      <c r="B14" s="16">
        <v>2.5</v>
      </c>
      <c r="C14" s="16">
        <v>4.5999999999999996</v>
      </c>
      <c r="D14" s="16">
        <v>7.6</v>
      </c>
      <c r="E14" s="16">
        <v>11.9</v>
      </c>
      <c r="F14" s="16">
        <v>14.3</v>
      </c>
      <c r="G14" s="16">
        <v>20</v>
      </c>
      <c r="H14" s="16">
        <v>23.2</v>
      </c>
      <c r="I14" s="16">
        <v>22.3</v>
      </c>
      <c r="J14" s="16">
        <v>18.8</v>
      </c>
      <c r="K14" s="16">
        <v>15.3</v>
      </c>
      <c r="L14" s="16">
        <v>8.8000000000000007</v>
      </c>
      <c r="M14" s="16">
        <v>5.8</v>
      </c>
      <c r="O14">
        <v>2004</v>
      </c>
      <c r="P14" s="16">
        <v>140</v>
      </c>
      <c r="Q14" s="16">
        <v>179</v>
      </c>
      <c r="R14" s="16">
        <v>129.69999999999999</v>
      </c>
      <c r="S14" s="16">
        <v>214</v>
      </c>
      <c r="T14" s="16">
        <v>92.5</v>
      </c>
      <c r="U14" s="16">
        <v>99.3</v>
      </c>
      <c r="V14" s="16">
        <v>8</v>
      </c>
      <c r="W14" s="16">
        <v>27.4</v>
      </c>
      <c r="X14" s="16">
        <v>50.9</v>
      </c>
      <c r="Y14" s="16">
        <v>87.2</v>
      </c>
      <c r="Z14" s="16">
        <v>118</v>
      </c>
      <c r="AA14" s="16">
        <v>200.6</v>
      </c>
    </row>
    <row r="15" spans="1:27" x14ac:dyDescent="0.25">
      <c r="A15">
        <v>2005</v>
      </c>
      <c r="B15" s="16">
        <v>2.4</v>
      </c>
      <c r="C15" s="16">
        <v>1.4</v>
      </c>
      <c r="D15" s="16">
        <v>6.9</v>
      </c>
      <c r="E15" s="16">
        <v>11.7</v>
      </c>
      <c r="F15" s="16">
        <v>17.2</v>
      </c>
      <c r="G15" s="16">
        <v>21.3</v>
      </c>
      <c r="H15" s="16">
        <v>23.3</v>
      </c>
      <c r="I15" s="16">
        <v>20.2</v>
      </c>
      <c r="J15" s="16">
        <v>18.3</v>
      </c>
      <c r="K15" s="16">
        <v>13.4</v>
      </c>
      <c r="L15" s="16">
        <v>8.1</v>
      </c>
      <c r="M15" s="16">
        <v>4</v>
      </c>
      <c r="O15">
        <v>2005</v>
      </c>
      <c r="P15" s="16">
        <v>4.9000000000000004</v>
      </c>
      <c r="Q15" s="16">
        <v>93</v>
      </c>
      <c r="R15" s="16">
        <v>63.7</v>
      </c>
      <c r="S15" s="16">
        <v>110.7</v>
      </c>
      <c r="T15" s="16">
        <v>58.2</v>
      </c>
      <c r="U15" s="16">
        <v>11.4</v>
      </c>
      <c r="V15" s="16">
        <v>45.1</v>
      </c>
      <c r="W15" s="16">
        <v>255.3</v>
      </c>
      <c r="X15" s="16">
        <v>96</v>
      </c>
      <c r="Y15" s="16">
        <v>157.6</v>
      </c>
      <c r="Z15" s="16">
        <v>130.4</v>
      </c>
      <c r="AA15" s="16">
        <v>298.60000000000002</v>
      </c>
    </row>
    <row r="16" spans="1:27" x14ac:dyDescent="0.25">
      <c r="A16">
        <v>2006</v>
      </c>
      <c r="B16" s="16">
        <v>2.8</v>
      </c>
      <c r="C16" s="16">
        <v>4.0999999999999996</v>
      </c>
      <c r="D16" s="16">
        <v>6.3</v>
      </c>
      <c r="E16" s="16">
        <v>12.6</v>
      </c>
      <c r="F16" s="16">
        <v>16.399999999999999</v>
      </c>
      <c r="G16" s="16">
        <v>20.9</v>
      </c>
      <c r="H16" s="16">
        <v>24.7</v>
      </c>
      <c r="I16" s="16">
        <v>20.399999999999999</v>
      </c>
      <c r="J16" s="16">
        <v>19.2</v>
      </c>
      <c r="K16" s="16">
        <v>15.5</v>
      </c>
      <c r="L16" s="16">
        <v>8.6</v>
      </c>
      <c r="M16" s="16">
        <v>6.2</v>
      </c>
      <c r="O16">
        <v>2006</v>
      </c>
      <c r="P16" s="16">
        <v>116.8</v>
      </c>
      <c r="Q16" s="16">
        <v>83.8</v>
      </c>
      <c r="R16" s="16">
        <v>86.3</v>
      </c>
      <c r="S16" s="16">
        <v>91.1</v>
      </c>
      <c r="T16" s="16">
        <v>68.2</v>
      </c>
      <c r="U16" s="16">
        <v>28.4</v>
      </c>
      <c r="V16" s="16">
        <v>30.5</v>
      </c>
      <c r="W16" s="16">
        <v>172.9</v>
      </c>
      <c r="X16" s="16">
        <v>40.9</v>
      </c>
      <c r="Y16" s="16">
        <v>13.7</v>
      </c>
      <c r="Z16" s="16">
        <v>56.3</v>
      </c>
      <c r="AA16" s="16">
        <v>33.9</v>
      </c>
    </row>
    <row r="17" spans="1:27" x14ac:dyDescent="0.25">
      <c r="A17">
        <v>2007</v>
      </c>
      <c r="B17" s="16">
        <v>6.9</v>
      </c>
      <c r="C17" s="16">
        <v>8.3000000000000007</v>
      </c>
      <c r="D17" s="16">
        <v>10.1</v>
      </c>
      <c r="E17" s="16">
        <v>14.7</v>
      </c>
      <c r="F17" s="16">
        <v>18</v>
      </c>
      <c r="G17" s="16">
        <v>21.7</v>
      </c>
      <c r="H17" s="16">
        <v>24.3</v>
      </c>
      <c r="I17" s="16">
        <v>23.1</v>
      </c>
      <c r="J17" s="16">
        <v>16</v>
      </c>
      <c r="K17" s="16">
        <v>12.5</v>
      </c>
      <c r="L17" s="16">
        <v>7.1</v>
      </c>
      <c r="M17" s="16">
        <v>3.5</v>
      </c>
      <c r="O17">
        <v>2007</v>
      </c>
      <c r="P17" s="16">
        <v>59</v>
      </c>
      <c r="Q17" s="16">
        <v>137.9</v>
      </c>
      <c r="R17" s="16">
        <v>130</v>
      </c>
      <c r="S17" s="16">
        <v>14.4</v>
      </c>
      <c r="T17" s="16">
        <v>96.6</v>
      </c>
      <c r="U17" s="16">
        <v>102.2</v>
      </c>
      <c r="V17" s="16">
        <v>30.3</v>
      </c>
      <c r="W17" s="16">
        <v>157.19999999999999</v>
      </c>
      <c r="X17" s="16">
        <v>97.2</v>
      </c>
      <c r="Y17" s="16">
        <v>57.6</v>
      </c>
      <c r="Z17" s="16">
        <v>59.9</v>
      </c>
      <c r="AA17" s="16">
        <v>66.7</v>
      </c>
    </row>
    <row r="18" spans="1:27" x14ac:dyDescent="0.25">
      <c r="A18">
        <v>2008</v>
      </c>
      <c r="B18" s="16">
        <v>6.2</v>
      </c>
      <c r="C18" s="16">
        <v>6.1</v>
      </c>
      <c r="D18" s="16">
        <v>8.6</v>
      </c>
      <c r="E18" s="16">
        <v>12.4</v>
      </c>
      <c r="F18" s="16">
        <v>17.899999999999999</v>
      </c>
      <c r="G18" s="16">
        <v>21.1</v>
      </c>
      <c r="H18" s="16">
        <v>23.6</v>
      </c>
      <c r="I18" s="16">
        <v>24.2</v>
      </c>
      <c r="J18" s="16">
        <v>17.399999999999999</v>
      </c>
      <c r="K18" s="16">
        <v>14.4</v>
      </c>
      <c r="L18" s="16">
        <v>9.6</v>
      </c>
      <c r="M18" s="16">
        <v>6.2</v>
      </c>
      <c r="O18">
        <v>2008</v>
      </c>
      <c r="P18" s="16">
        <v>72.099999999999994</v>
      </c>
      <c r="Q18" s="16">
        <v>10.7</v>
      </c>
      <c r="R18" s="16">
        <v>113.1</v>
      </c>
      <c r="S18" s="16">
        <v>91.6</v>
      </c>
      <c r="T18" s="16">
        <v>48.9</v>
      </c>
      <c r="U18" s="16">
        <v>199.6</v>
      </c>
      <c r="V18" s="16">
        <v>23.1</v>
      </c>
      <c r="W18" s="16">
        <v>6.1</v>
      </c>
      <c r="X18" s="16">
        <v>26</v>
      </c>
      <c r="Y18" s="16">
        <v>42.3</v>
      </c>
      <c r="Z18" s="16">
        <v>175.9</v>
      </c>
      <c r="AA18" s="16">
        <v>152.6</v>
      </c>
    </row>
    <row r="19" spans="1:27" x14ac:dyDescent="0.25">
      <c r="A19">
        <v>2009</v>
      </c>
      <c r="B19" s="16">
        <v>3.1</v>
      </c>
      <c r="C19" s="16">
        <v>4.7</v>
      </c>
      <c r="D19" s="16">
        <v>8.3000000000000007</v>
      </c>
      <c r="E19" s="16">
        <v>13.6</v>
      </c>
      <c r="F19" s="16">
        <v>18.899999999999999</v>
      </c>
      <c r="G19" s="16">
        <v>19.8</v>
      </c>
      <c r="H19" s="16">
        <v>23.5</v>
      </c>
      <c r="I19" s="16">
        <v>24.7</v>
      </c>
      <c r="J19" s="16">
        <v>20.399999999999999</v>
      </c>
      <c r="K19" s="16">
        <v>12.9</v>
      </c>
      <c r="L19" s="16">
        <v>9.1</v>
      </c>
      <c r="M19" s="16">
        <v>5.7</v>
      </c>
      <c r="O19">
        <v>2009</v>
      </c>
      <c r="P19" s="16">
        <v>168.7</v>
      </c>
      <c r="Q19" s="16">
        <v>107.3</v>
      </c>
      <c r="R19" s="16">
        <v>49</v>
      </c>
      <c r="S19" s="16">
        <v>103.9</v>
      </c>
      <c r="T19" s="16">
        <v>29.7</v>
      </c>
      <c r="U19" s="16">
        <v>122.7</v>
      </c>
      <c r="V19" s="16">
        <v>61.7</v>
      </c>
      <c r="W19" s="16">
        <v>27.2</v>
      </c>
      <c r="X19" s="16">
        <v>34.299999999999997</v>
      </c>
      <c r="Y19" s="16">
        <v>92.2</v>
      </c>
      <c r="Z19" s="16">
        <v>138.6</v>
      </c>
      <c r="AA19" s="16">
        <v>202.5</v>
      </c>
    </row>
    <row r="20" spans="1:27" x14ac:dyDescent="0.25">
      <c r="A20">
        <v>2010</v>
      </c>
      <c r="B20" s="16">
        <v>3.2</v>
      </c>
      <c r="C20" s="16">
        <v>5.2</v>
      </c>
      <c r="D20" s="16">
        <v>7.7</v>
      </c>
      <c r="E20" s="16">
        <v>12.9</v>
      </c>
      <c r="F20" s="16">
        <v>16.2</v>
      </c>
      <c r="G20" s="16">
        <v>20.9</v>
      </c>
      <c r="H20" s="16">
        <v>24.4</v>
      </c>
      <c r="I20" s="16">
        <v>22.7</v>
      </c>
      <c r="J20" s="16">
        <v>17.600000000000001</v>
      </c>
      <c r="K20" s="16">
        <v>11.9</v>
      </c>
      <c r="L20" s="16">
        <v>10.8</v>
      </c>
      <c r="M20" s="16">
        <v>4.5999999999999996</v>
      </c>
      <c r="O20">
        <v>2010</v>
      </c>
      <c r="P20" s="16">
        <v>179.2</v>
      </c>
      <c r="Q20" s="16">
        <v>129.4</v>
      </c>
      <c r="R20" s="16">
        <v>73.900000000000006</v>
      </c>
      <c r="S20" s="16">
        <v>123.1</v>
      </c>
      <c r="T20" s="16">
        <v>145.69999999999999</v>
      </c>
      <c r="U20" s="16">
        <v>88.2</v>
      </c>
      <c r="V20" s="16">
        <v>62.5</v>
      </c>
      <c r="W20" s="16">
        <v>48.9</v>
      </c>
      <c r="X20" s="16">
        <v>117.7</v>
      </c>
      <c r="Y20" s="16">
        <v>54.6</v>
      </c>
      <c r="Z20" s="16">
        <v>223.8</v>
      </c>
      <c r="AA20" s="16">
        <v>169</v>
      </c>
    </row>
    <row r="21" spans="1:27" x14ac:dyDescent="0.25">
      <c r="A21">
        <v>2011</v>
      </c>
      <c r="B21" s="16">
        <v>4.5</v>
      </c>
      <c r="C21" s="16">
        <v>5.3</v>
      </c>
      <c r="D21" s="16">
        <v>8.1999999999999993</v>
      </c>
      <c r="E21" s="16">
        <v>14.2</v>
      </c>
      <c r="F21" s="16">
        <v>17.600000000000001</v>
      </c>
      <c r="G21" s="16">
        <v>21.5</v>
      </c>
      <c r="H21" s="16">
        <v>22.7</v>
      </c>
      <c r="I21" s="16">
        <v>24.2</v>
      </c>
      <c r="J21" s="16">
        <v>22.1</v>
      </c>
      <c r="K21" s="16">
        <v>13.2</v>
      </c>
      <c r="L21" s="16">
        <v>8.1</v>
      </c>
      <c r="M21" s="16">
        <v>6.9</v>
      </c>
      <c r="O21">
        <v>2011</v>
      </c>
      <c r="P21" s="16">
        <v>12.9</v>
      </c>
      <c r="Q21" s="16">
        <v>9.1</v>
      </c>
      <c r="R21" s="16">
        <v>74.8</v>
      </c>
      <c r="S21" s="16">
        <v>29.2</v>
      </c>
      <c r="T21" s="16">
        <v>58.5</v>
      </c>
      <c r="U21" s="16">
        <v>103.1</v>
      </c>
      <c r="V21" s="16">
        <v>136.5</v>
      </c>
      <c r="W21" s="16">
        <v>32.4</v>
      </c>
      <c r="X21" s="16">
        <v>31.7</v>
      </c>
      <c r="Y21" s="16">
        <v>99.3</v>
      </c>
      <c r="Z21" s="16">
        <v>34.200000000000003</v>
      </c>
      <c r="AA21" s="16">
        <v>116.4</v>
      </c>
    </row>
    <row r="22" spans="1:27" x14ac:dyDescent="0.25">
      <c r="A22">
        <v>2012</v>
      </c>
      <c r="B22" s="16">
        <v>3.7</v>
      </c>
      <c r="C22" s="16">
        <v>0.4</v>
      </c>
      <c r="D22" s="16">
        <v>11.7</v>
      </c>
      <c r="E22" s="16">
        <v>12.3</v>
      </c>
      <c r="F22" s="16">
        <v>16</v>
      </c>
      <c r="G22" s="16">
        <v>23.5</v>
      </c>
      <c r="H22" s="16">
        <v>26</v>
      </c>
      <c r="I22" s="16">
        <v>25.8</v>
      </c>
      <c r="J22" s="16">
        <v>19.8</v>
      </c>
      <c r="K22" s="16">
        <v>13.7</v>
      </c>
      <c r="L22" s="16">
        <v>11.6</v>
      </c>
      <c r="M22" s="16">
        <v>4.9000000000000004</v>
      </c>
      <c r="O22">
        <v>2012</v>
      </c>
      <c r="P22" s="16">
        <v>38.299999999999997</v>
      </c>
      <c r="Q22" s="16">
        <v>15.7</v>
      </c>
      <c r="R22" s="16">
        <v>0</v>
      </c>
      <c r="S22" s="16">
        <v>126.1</v>
      </c>
      <c r="T22" s="16">
        <v>62.6</v>
      </c>
      <c r="U22" s="16">
        <v>39.4</v>
      </c>
      <c r="V22" s="16">
        <v>42.8</v>
      </c>
      <c r="W22" s="16">
        <v>0</v>
      </c>
      <c r="X22" s="16">
        <v>153.9</v>
      </c>
      <c r="Y22" s="16">
        <v>101.6</v>
      </c>
      <c r="Z22" s="16">
        <v>74.3</v>
      </c>
      <c r="AA22" s="16">
        <v>134.1</v>
      </c>
    </row>
    <row r="23" spans="1:27" x14ac:dyDescent="0.25">
      <c r="A23">
        <v>2013</v>
      </c>
      <c r="B23" s="16">
        <v>5.7</v>
      </c>
      <c r="C23" s="16">
        <v>4.8</v>
      </c>
      <c r="D23" s="16">
        <v>7.6</v>
      </c>
      <c r="E23" s="16">
        <v>13.5</v>
      </c>
      <c r="F23" s="16">
        <v>15.6</v>
      </c>
      <c r="G23" s="16">
        <v>19.7</v>
      </c>
      <c r="H23" s="16">
        <v>24.2</v>
      </c>
      <c r="I23" s="16">
        <v>24.5</v>
      </c>
      <c r="J23" s="16">
        <v>17.899999999999999</v>
      </c>
      <c r="K23" s="16">
        <v>14.1</v>
      </c>
      <c r="L23" s="16">
        <v>9.8000000000000007</v>
      </c>
      <c r="M23" s="16">
        <v>6.2</v>
      </c>
      <c r="O23">
        <v>2013</v>
      </c>
      <c r="P23" s="16">
        <v>106.2</v>
      </c>
      <c r="Q23" s="16">
        <v>109.4</v>
      </c>
      <c r="R23" s="16">
        <v>193.5</v>
      </c>
      <c r="S23" s="16">
        <v>108.5</v>
      </c>
      <c r="T23" s="16">
        <v>118.3</v>
      </c>
      <c r="U23" s="16">
        <v>153.6</v>
      </c>
      <c r="V23" s="16">
        <v>26.3</v>
      </c>
      <c r="W23" s="16">
        <v>53.1</v>
      </c>
      <c r="X23" s="16">
        <v>95.6</v>
      </c>
      <c r="Y23" s="16">
        <v>117.6</v>
      </c>
      <c r="Z23" s="16">
        <v>230.7</v>
      </c>
      <c r="AA23" s="16">
        <v>15</v>
      </c>
    </row>
    <row r="24" spans="1:27" x14ac:dyDescent="0.25">
      <c r="A24">
        <v>2014</v>
      </c>
      <c r="B24" s="16">
        <v>7.7</v>
      </c>
      <c r="C24" s="16">
        <v>8.8000000000000007</v>
      </c>
      <c r="D24" s="16">
        <v>10.199999999999999</v>
      </c>
      <c r="E24" s="16">
        <v>12.9</v>
      </c>
      <c r="F24" s="16">
        <v>15.4</v>
      </c>
      <c r="G24" s="16">
        <v>21</v>
      </c>
      <c r="H24" s="16">
        <v>21.9</v>
      </c>
      <c r="I24" s="16">
        <v>21.5</v>
      </c>
      <c r="J24" s="16">
        <v>17.3</v>
      </c>
      <c r="K24" s="16">
        <v>14.5</v>
      </c>
      <c r="L24" s="16">
        <v>11.9</v>
      </c>
      <c r="M24" s="16">
        <v>5.9</v>
      </c>
      <c r="O24">
        <v>2014</v>
      </c>
      <c r="P24" s="16">
        <v>134.5</v>
      </c>
      <c r="Q24" s="16">
        <v>155.5</v>
      </c>
      <c r="R24" s="16">
        <v>59.2</v>
      </c>
      <c r="S24" s="16">
        <v>164.7</v>
      </c>
      <c r="T24" s="16">
        <v>54.4</v>
      </c>
      <c r="U24" s="16">
        <v>118.4</v>
      </c>
      <c r="V24" s="16">
        <v>82.3</v>
      </c>
      <c r="W24" s="16">
        <v>62.8</v>
      </c>
      <c r="X24" s="16">
        <v>295.3</v>
      </c>
      <c r="Y24" s="16">
        <v>21.7</v>
      </c>
      <c r="Z24" s="16">
        <v>166.6</v>
      </c>
      <c r="AA24" s="16">
        <v>134.80000000000001</v>
      </c>
    </row>
    <row r="25" spans="1:27" x14ac:dyDescent="0.25">
      <c r="A25">
        <v>2015</v>
      </c>
      <c r="B25" s="16">
        <v>5.4</v>
      </c>
      <c r="C25" s="16">
        <v>4.9000000000000004</v>
      </c>
      <c r="D25" s="16">
        <v>8.8000000000000007</v>
      </c>
      <c r="E25" s="16">
        <v>12.2</v>
      </c>
      <c r="F25" s="16">
        <v>17.600000000000001</v>
      </c>
      <c r="G25" s="16">
        <v>21.3</v>
      </c>
      <c r="H25" s="16">
        <v>25.7</v>
      </c>
      <c r="I25" s="16">
        <v>23.7</v>
      </c>
      <c r="J25" s="16">
        <v>19.3</v>
      </c>
      <c r="K25" s="16">
        <v>13.8</v>
      </c>
      <c r="L25" s="16">
        <v>8.6</v>
      </c>
      <c r="M25" s="16">
        <v>5.4</v>
      </c>
      <c r="O25">
        <v>2015</v>
      </c>
      <c r="P25" s="16">
        <v>99</v>
      </c>
      <c r="Q25" s="16">
        <v>64.599999999999994</v>
      </c>
      <c r="R25" s="16">
        <v>37.799999999999997</v>
      </c>
      <c r="S25" s="16">
        <v>54.1</v>
      </c>
      <c r="T25" s="16">
        <v>94</v>
      </c>
      <c r="U25" s="16">
        <v>129.19999999999999</v>
      </c>
      <c r="V25" s="16">
        <v>53.4</v>
      </c>
      <c r="W25" s="16">
        <v>100.4</v>
      </c>
      <c r="X25" s="16">
        <v>54.3</v>
      </c>
      <c r="Y25" s="16">
        <v>303.39999999999998</v>
      </c>
      <c r="Z25" s="16">
        <v>70.400000000000006</v>
      </c>
      <c r="AA25" s="16">
        <v>0</v>
      </c>
    </row>
    <row r="26" spans="1:27" x14ac:dyDescent="0.25">
      <c r="A26">
        <v>2016</v>
      </c>
      <c r="B26" s="7">
        <v>5</v>
      </c>
      <c r="C26" s="7">
        <v>8.6999999999999993</v>
      </c>
      <c r="D26" s="7">
        <v>9</v>
      </c>
      <c r="E26" s="7">
        <v>13.7</v>
      </c>
      <c r="F26" s="7">
        <v>15.7</v>
      </c>
      <c r="G26" s="7">
        <v>20.399999999999999</v>
      </c>
      <c r="H26" s="7">
        <v>24.4</v>
      </c>
      <c r="I26" s="7">
        <v>22.8</v>
      </c>
      <c r="J26" s="7">
        <v>18.5</v>
      </c>
      <c r="K26" s="7">
        <v>12.8</v>
      </c>
      <c r="L26" s="7">
        <v>9.4</v>
      </c>
      <c r="M26" s="7">
        <v>4.5</v>
      </c>
      <c r="O26">
        <v>2016</v>
      </c>
      <c r="P26" s="16">
        <v>129.1</v>
      </c>
      <c r="Q26" s="16">
        <v>145.9</v>
      </c>
      <c r="R26" s="16">
        <v>51.9</v>
      </c>
      <c r="S26" s="16">
        <v>60.7</v>
      </c>
      <c r="T26" s="16">
        <v>108.1</v>
      </c>
      <c r="U26" s="16">
        <v>143.9</v>
      </c>
      <c r="V26" s="16">
        <v>3.3</v>
      </c>
      <c r="W26" s="16">
        <v>66.900000000000006</v>
      </c>
      <c r="X26" s="16">
        <v>127.5</v>
      </c>
      <c r="Y26" s="16">
        <v>83.6</v>
      </c>
      <c r="Z26" s="16">
        <v>124.5</v>
      </c>
      <c r="AA26" s="16">
        <v>0.1</v>
      </c>
    </row>
    <row r="27" spans="1:27" x14ac:dyDescent="0.25">
      <c r="A27">
        <v>2017</v>
      </c>
      <c r="B27" s="7">
        <v>-0.1</v>
      </c>
      <c r="C27" s="7">
        <v>7.4</v>
      </c>
      <c r="D27" s="7">
        <v>11.2</v>
      </c>
      <c r="E27" s="7">
        <v>11.9</v>
      </c>
      <c r="F27" s="7">
        <v>17.5</v>
      </c>
      <c r="G27" s="7">
        <v>23.5</v>
      </c>
      <c r="H27" s="7">
        <v>25.3</v>
      </c>
      <c r="I27" s="7">
        <v>25.9</v>
      </c>
      <c r="J27" s="7">
        <v>17</v>
      </c>
      <c r="K27" s="7">
        <v>13</v>
      </c>
      <c r="L27" s="7">
        <v>8.5</v>
      </c>
      <c r="M27" s="7">
        <v>5.4</v>
      </c>
      <c r="O27">
        <v>2017</v>
      </c>
      <c r="P27" s="16">
        <v>83.7</v>
      </c>
      <c r="Q27" s="16">
        <v>114.6</v>
      </c>
      <c r="R27" s="16">
        <v>55.9</v>
      </c>
      <c r="S27" s="16">
        <v>77</v>
      </c>
      <c r="T27" s="16">
        <v>36.799999999999997</v>
      </c>
      <c r="U27" s="16">
        <v>16</v>
      </c>
      <c r="V27" s="16">
        <v>11.7</v>
      </c>
      <c r="W27" s="16">
        <v>5.3</v>
      </c>
      <c r="X27" s="16">
        <v>171.5</v>
      </c>
      <c r="Y27" s="16">
        <v>58.2</v>
      </c>
      <c r="Z27" s="16">
        <v>116</v>
      </c>
      <c r="AA27" s="16">
        <v>120.5</v>
      </c>
    </row>
    <row r="28" spans="1:27" x14ac:dyDescent="0.25">
      <c r="A28">
        <v>2018</v>
      </c>
      <c r="B28" s="16">
        <v>7</v>
      </c>
      <c r="C28" s="16">
        <v>3</v>
      </c>
      <c r="D28" s="16">
        <v>7.8</v>
      </c>
      <c r="E28" s="16">
        <v>15.6</v>
      </c>
      <c r="F28" s="16">
        <v>18.399999999999999</v>
      </c>
      <c r="G28" s="16">
        <v>21</v>
      </c>
      <c r="H28" s="16">
        <v>24.1</v>
      </c>
      <c r="I28" s="16">
        <v>24</v>
      </c>
      <c r="J28" s="16">
        <v>19.2</v>
      </c>
      <c r="K28" s="16">
        <v>16.100000000000001</v>
      </c>
      <c r="L28" s="16">
        <v>10.4</v>
      </c>
      <c r="M28" s="16">
        <v>5.6</v>
      </c>
      <c r="O28">
        <v>2018</v>
      </c>
      <c r="P28" s="16">
        <v>112.3</v>
      </c>
      <c r="Q28" s="16">
        <v>117.2</v>
      </c>
      <c r="R28" s="16">
        <v>185.7</v>
      </c>
      <c r="S28" s="16">
        <v>57.7</v>
      </c>
      <c r="T28" s="16">
        <v>218</v>
      </c>
      <c r="U28" s="16">
        <v>60.9</v>
      </c>
      <c r="V28" s="16">
        <v>46.2</v>
      </c>
      <c r="W28" s="16">
        <v>92.8</v>
      </c>
      <c r="X28" s="16">
        <v>101.1</v>
      </c>
      <c r="Y28" s="16">
        <v>87.8</v>
      </c>
      <c r="Z28" s="16">
        <v>171.2</v>
      </c>
      <c r="AA28" s="16">
        <v>98.8</v>
      </c>
    </row>
    <row r="29" spans="1:27" x14ac:dyDescent="0.25">
      <c r="A29">
        <v>2019</v>
      </c>
      <c r="B29" s="16">
        <v>2.8</v>
      </c>
      <c r="C29" s="16">
        <v>7.2</v>
      </c>
      <c r="D29" s="16">
        <v>10.7</v>
      </c>
      <c r="E29" s="16">
        <v>13.3</v>
      </c>
      <c r="F29" s="16">
        <v>13.5</v>
      </c>
      <c r="G29" s="16">
        <v>24.1</v>
      </c>
      <c r="H29" s="16">
        <v>24.3</v>
      </c>
      <c r="I29" s="16">
        <v>24.8</v>
      </c>
      <c r="J29" s="16">
        <v>19.100000000000001</v>
      </c>
      <c r="K29" s="16">
        <v>14.1</v>
      </c>
      <c r="L29" s="16">
        <v>12.1</v>
      </c>
      <c r="M29" s="16">
        <v>7.5</v>
      </c>
      <c r="O29">
        <v>2019</v>
      </c>
      <c r="P29" s="16">
        <v>130.1</v>
      </c>
      <c r="Q29" s="16">
        <v>28.9</v>
      </c>
      <c r="R29" s="16">
        <v>38.1</v>
      </c>
      <c r="S29" s="16">
        <v>90.7</v>
      </c>
      <c r="T29" s="16">
        <v>128.30000000000001</v>
      </c>
      <c r="U29" s="16">
        <v>5.5</v>
      </c>
      <c r="V29" s="16">
        <v>87.8</v>
      </c>
      <c r="W29" s="16">
        <v>46.2</v>
      </c>
      <c r="X29" s="16">
        <v>79.5</v>
      </c>
      <c r="Y29" s="16">
        <v>40.4</v>
      </c>
      <c r="Z29" s="16">
        <v>371.7</v>
      </c>
      <c r="AA29" s="16">
        <v>176.4</v>
      </c>
    </row>
    <row r="30" spans="1:27" x14ac:dyDescent="0.25">
      <c r="A30">
        <v>2020</v>
      </c>
      <c r="B30" s="16">
        <v>5.2</v>
      </c>
      <c r="C30" s="16">
        <v>7.9</v>
      </c>
      <c r="D30" s="16">
        <v>8.8000000000000007</v>
      </c>
      <c r="E30" s="16">
        <v>13.4</v>
      </c>
      <c r="F30" s="16">
        <v>16.899999999999999</v>
      </c>
      <c r="G30" s="16">
        <v>20</v>
      </c>
      <c r="H30" s="16">
        <v>24</v>
      </c>
      <c r="I30" s="16">
        <v>24.6</v>
      </c>
      <c r="J30" s="16">
        <v>19.899999999999999</v>
      </c>
      <c r="K30" s="16">
        <v>13</v>
      </c>
      <c r="L30" s="16">
        <v>8.6</v>
      </c>
      <c r="M30" s="16">
        <v>7.1</v>
      </c>
      <c r="O30">
        <v>2020</v>
      </c>
      <c r="P30" s="16">
        <v>5.2</v>
      </c>
      <c r="Q30" s="16">
        <v>53.3</v>
      </c>
      <c r="R30" s="16">
        <v>33.799999999999997</v>
      </c>
      <c r="S30" s="16">
        <v>18</v>
      </c>
      <c r="T30" s="16">
        <v>60.9</v>
      </c>
      <c r="U30" s="16">
        <v>84</v>
      </c>
      <c r="V30" s="16">
        <v>6.6</v>
      </c>
      <c r="W30" s="16">
        <v>86.9</v>
      </c>
      <c r="X30" s="16">
        <v>165.8</v>
      </c>
      <c r="Y30" s="16">
        <v>250.4</v>
      </c>
      <c r="Z30" s="16">
        <v>27.7</v>
      </c>
      <c r="AA30" s="16">
        <v>270.10000000000002</v>
      </c>
    </row>
    <row r="31" spans="1:27" x14ac:dyDescent="0.25">
      <c r="A31">
        <v>2021</v>
      </c>
      <c r="B31" s="16">
        <v>4.2</v>
      </c>
      <c r="C31" s="16">
        <v>7.2</v>
      </c>
      <c r="D31" s="16">
        <v>7.8</v>
      </c>
      <c r="E31" s="16">
        <v>10.5</v>
      </c>
      <c r="F31" s="16">
        <v>16.100000000000001</v>
      </c>
      <c r="G31" s="16">
        <v>23.3</v>
      </c>
      <c r="H31" s="16">
        <v>25.8</v>
      </c>
      <c r="I31" s="16">
        <v>24</v>
      </c>
      <c r="J31" s="16">
        <v>19.600000000000001</v>
      </c>
      <c r="K31" s="16">
        <v>12.6</v>
      </c>
      <c r="L31" s="16">
        <v>10.3</v>
      </c>
      <c r="M31" s="16">
        <v>7.1</v>
      </c>
      <c r="O31">
        <v>2021</v>
      </c>
      <c r="P31" s="16">
        <v>200.8</v>
      </c>
      <c r="Q31" s="16">
        <v>67.900000000000006</v>
      </c>
      <c r="R31" s="16">
        <v>28.2</v>
      </c>
      <c r="S31" s="16">
        <v>68</v>
      </c>
      <c r="T31" s="16">
        <v>28.7</v>
      </c>
      <c r="U31" s="16">
        <v>13.2</v>
      </c>
      <c r="V31" s="16">
        <v>25.2</v>
      </c>
      <c r="W31" s="16">
        <v>36.6</v>
      </c>
      <c r="X31" s="16">
        <v>73.7</v>
      </c>
      <c r="Y31" s="16">
        <v>82.7</v>
      </c>
      <c r="Z31" s="16">
        <v>282.60000000000002</v>
      </c>
      <c r="AA31" s="16">
        <v>143.6</v>
      </c>
    </row>
    <row r="32" spans="1:27" x14ac:dyDescent="0.25">
      <c r="A32">
        <v>2022</v>
      </c>
      <c r="B32" s="16">
        <v>4.7</v>
      </c>
      <c r="C32" s="16">
        <v>6.9</v>
      </c>
      <c r="D32" s="16">
        <v>7.5</v>
      </c>
      <c r="E32" s="16">
        <v>11.5</v>
      </c>
      <c r="F32" s="16">
        <v>18.5</v>
      </c>
      <c r="G32" s="16">
        <v>24.4</v>
      </c>
      <c r="H32" s="16">
        <v>26.4</v>
      </c>
      <c r="I32" s="16">
        <v>24.4</v>
      </c>
      <c r="J32" s="16">
        <v>18</v>
      </c>
      <c r="K32" s="16">
        <v>16</v>
      </c>
      <c r="L32" s="16">
        <v>10.4</v>
      </c>
      <c r="M32" s="16">
        <v>8.9</v>
      </c>
      <c r="O32">
        <v>2022</v>
      </c>
      <c r="P32" s="16">
        <v>20.3</v>
      </c>
      <c r="Q32" s="16">
        <v>51.8</v>
      </c>
      <c r="R32" s="16">
        <v>21.5</v>
      </c>
      <c r="S32" s="16">
        <v>105.7</v>
      </c>
      <c r="T32" s="16">
        <v>38.299999999999997</v>
      </c>
      <c r="U32" s="16">
        <v>41.4</v>
      </c>
      <c r="V32" s="16">
        <v>17.399999999999999</v>
      </c>
      <c r="W32" s="16">
        <v>95.3</v>
      </c>
      <c r="X32" s="16">
        <v>105.3</v>
      </c>
      <c r="Y32" s="16">
        <v>15</v>
      </c>
      <c r="Z32" s="16">
        <v>203.8</v>
      </c>
      <c r="AA32" s="16">
        <v>150.9</v>
      </c>
    </row>
    <row r="33" spans="1:27" x14ac:dyDescent="0.25">
      <c r="A33">
        <v>2023</v>
      </c>
      <c r="B33" s="16">
        <v>6.2</v>
      </c>
      <c r="C33" s="16">
        <v>5.7</v>
      </c>
      <c r="D33" s="16">
        <v>9.8000000000000007</v>
      </c>
      <c r="E33" s="16">
        <v>12.9</v>
      </c>
      <c r="F33" s="16">
        <v>17</v>
      </c>
      <c r="G33" s="16">
        <v>21</v>
      </c>
      <c r="H33" s="16">
        <v>25.8</v>
      </c>
      <c r="I33" s="16">
        <v>25.6</v>
      </c>
      <c r="J33" s="16">
        <v>21.8</v>
      </c>
      <c r="K33" s="16">
        <v>17.100000000000001</v>
      </c>
      <c r="L33" s="16">
        <v>10.7</v>
      </c>
      <c r="M33" s="16">
        <v>7.8</v>
      </c>
      <c r="O33">
        <v>2023</v>
      </c>
      <c r="P33" s="16">
        <v>171</v>
      </c>
      <c r="Q33" s="16">
        <v>75.099999999999994</v>
      </c>
      <c r="R33" s="16">
        <v>77.400000000000006</v>
      </c>
      <c r="S33" s="16">
        <v>79</v>
      </c>
      <c r="T33" s="16">
        <v>234.5</v>
      </c>
      <c r="U33" s="16">
        <v>121</v>
      </c>
      <c r="V33" s="16">
        <v>13.2</v>
      </c>
      <c r="W33" s="16">
        <v>154.69999999999999</v>
      </c>
      <c r="X33" s="16">
        <v>89.1</v>
      </c>
      <c r="Y33" s="16">
        <v>63.7</v>
      </c>
      <c r="Z33" s="16">
        <v>239.7</v>
      </c>
      <c r="AA33" s="16">
        <v>79.7</v>
      </c>
    </row>
    <row r="34" spans="1:27" x14ac:dyDescent="0.25">
      <c r="A34">
        <v>2024</v>
      </c>
      <c r="B34">
        <v>6</v>
      </c>
      <c r="C34">
        <v>10.6</v>
      </c>
      <c r="D34">
        <v>11.7</v>
      </c>
      <c r="E34">
        <v>14.3</v>
      </c>
      <c r="F34">
        <v>17.399999999999999</v>
      </c>
      <c r="G34">
        <v>23.2</v>
      </c>
      <c r="H34">
        <v>26.9</v>
      </c>
      <c r="I34">
        <v>27.1</v>
      </c>
      <c r="J34">
        <v>19.399999999999999</v>
      </c>
      <c r="K34">
        <v>16.100000000000001</v>
      </c>
      <c r="L34">
        <v>9</v>
      </c>
      <c r="M34">
        <v>6.1</v>
      </c>
      <c r="O34">
        <v>2024</v>
      </c>
      <c r="P34">
        <v>67.7</v>
      </c>
      <c r="Q34">
        <v>72.599999999999994</v>
      </c>
      <c r="R34">
        <v>171.7</v>
      </c>
      <c r="S34">
        <v>41.8</v>
      </c>
      <c r="T34">
        <v>65.5</v>
      </c>
      <c r="U34">
        <v>59.1</v>
      </c>
      <c r="V34">
        <v>30.5</v>
      </c>
      <c r="W34">
        <v>62.5</v>
      </c>
      <c r="X34">
        <v>163</v>
      </c>
      <c r="Y34">
        <v>116.4</v>
      </c>
      <c r="Z34">
        <v>94.8</v>
      </c>
      <c r="AA34">
        <v>52.6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  <row r="66" spans="2:13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5EF4-B094-4BFD-8305-18416535F277}">
  <dimension ref="A1:AA40"/>
  <sheetViews>
    <sheetView topLeftCell="A17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9.913333333333334</v>
      </c>
      <c r="C2" s="4">
        <f t="shared" ref="C2:L2" si="0">AVERAGE(C5:C46)</f>
        <v>10.166666666666664</v>
      </c>
      <c r="D2" s="4">
        <f t="shared" si="0"/>
        <v>11.873333333333331</v>
      </c>
      <c r="E2" s="4">
        <f t="shared" si="0"/>
        <v>14.776666666666664</v>
      </c>
      <c r="F2" s="4">
        <f t="shared" si="0"/>
        <v>19.209999999999997</v>
      </c>
      <c r="G2" s="4">
        <f t="shared" si="0"/>
        <v>23.58</v>
      </c>
      <c r="H2" s="4">
        <f t="shared" si="0"/>
        <v>26.23</v>
      </c>
      <c r="I2" s="4">
        <f t="shared" si="0"/>
        <v>26.036666666666665</v>
      </c>
      <c r="J2" s="4">
        <f t="shared" si="0"/>
        <v>21.853333333333332</v>
      </c>
      <c r="K2" s="4">
        <f t="shared" si="0"/>
        <v>18.236666666666668</v>
      </c>
      <c r="L2" s="4">
        <f t="shared" si="0"/>
        <v>14.566666666666666</v>
      </c>
      <c r="M2" s="4">
        <f>AVERAGE(M5:M46)</f>
        <v>11.323333333333336</v>
      </c>
      <c r="O2" s="30"/>
      <c r="P2" s="4">
        <f>AVERAGE(P5:P46)</f>
        <v>81.370000000000019</v>
      </c>
      <c r="Q2" s="4">
        <f t="shared" ref="Q2:Z2" si="1">AVERAGE(Q5:Q46)</f>
        <v>68.34999999999998</v>
      </c>
      <c r="R2" s="4">
        <f t="shared" si="1"/>
        <v>77.593333333333334</v>
      </c>
      <c r="S2" s="4">
        <f t="shared" si="1"/>
        <v>59.780000000000008</v>
      </c>
      <c r="T2" s="4">
        <f t="shared" si="1"/>
        <v>39.226666666666659</v>
      </c>
      <c r="U2" s="4">
        <f t="shared" si="1"/>
        <v>42.419999999999995</v>
      </c>
      <c r="V2" s="4">
        <f t="shared" si="1"/>
        <v>20.826666666666664</v>
      </c>
      <c r="W2" s="4">
        <f t="shared" si="1"/>
        <v>43.990000000000009</v>
      </c>
      <c r="X2" s="4">
        <f t="shared" si="1"/>
        <v>70.309999999999988</v>
      </c>
      <c r="Y2" s="4">
        <f t="shared" si="1"/>
        <v>53.313333333333347</v>
      </c>
      <c r="Z2" s="4">
        <f t="shared" si="1"/>
        <v>107.63333333333335</v>
      </c>
      <c r="AA2" s="4">
        <f>AVERAGE(AA5:AA46)</f>
        <v>109.50666666666666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9.1</v>
      </c>
      <c r="C5" s="2">
        <v>11.5</v>
      </c>
      <c r="D5" s="2">
        <v>10.6</v>
      </c>
      <c r="E5" s="2">
        <v>13.2</v>
      </c>
      <c r="F5" s="2">
        <v>18.2</v>
      </c>
      <c r="G5" s="2">
        <v>21.7</v>
      </c>
      <c r="H5" s="2">
        <v>26.5</v>
      </c>
      <c r="I5" s="2">
        <v>24</v>
      </c>
      <c r="J5" s="2">
        <v>20.2</v>
      </c>
      <c r="K5" s="2">
        <v>18.7</v>
      </c>
      <c r="L5" s="2">
        <v>12</v>
      </c>
      <c r="M5" s="2">
        <v>12.2</v>
      </c>
      <c r="O5">
        <v>1995</v>
      </c>
      <c r="P5" s="2">
        <v>37.9</v>
      </c>
      <c r="Q5" s="2">
        <v>33.700000000000003</v>
      </c>
      <c r="R5" s="2">
        <v>100.2</v>
      </c>
      <c r="S5" s="2">
        <v>75.7</v>
      </c>
      <c r="T5" s="2">
        <v>57.1</v>
      </c>
      <c r="U5" s="2">
        <v>78.099999999999994</v>
      </c>
      <c r="V5" s="2">
        <v>9.6</v>
      </c>
      <c r="W5" s="2">
        <v>104.1</v>
      </c>
      <c r="X5" s="2">
        <v>131.1</v>
      </c>
      <c r="Y5" s="2">
        <v>32.200000000000003</v>
      </c>
      <c r="Z5" s="2">
        <v>97.1</v>
      </c>
      <c r="AA5" s="2">
        <v>221.8</v>
      </c>
    </row>
    <row r="6" spans="1:27" x14ac:dyDescent="0.25">
      <c r="A6">
        <v>1996</v>
      </c>
      <c r="B6" s="2">
        <v>10.7</v>
      </c>
      <c r="C6" s="2">
        <v>8.1999999999999993</v>
      </c>
      <c r="D6" s="2">
        <v>9.6999999999999993</v>
      </c>
      <c r="E6" s="2">
        <v>14.8</v>
      </c>
      <c r="F6" s="2">
        <v>19.100000000000001</v>
      </c>
      <c r="G6" s="2">
        <v>23.4</v>
      </c>
      <c r="H6" s="2">
        <v>24.6</v>
      </c>
      <c r="I6" s="2">
        <v>24.5</v>
      </c>
      <c r="J6" s="2">
        <v>18.600000000000001</v>
      </c>
      <c r="K6" s="2">
        <v>17.2</v>
      </c>
      <c r="L6" s="2">
        <v>14.4</v>
      </c>
      <c r="M6" s="2">
        <v>10.9</v>
      </c>
      <c r="O6">
        <v>1996</v>
      </c>
      <c r="P6" s="2">
        <v>183.7</v>
      </c>
      <c r="Q6" s="2">
        <v>112</v>
      </c>
      <c r="R6" s="2">
        <v>45.9</v>
      </c>
      <c r="S6" s="2">
        <v>9</v>
      </c>
      <c r="T6" s="2">
        <v>23.1</v>
      </c>
      <c r="U6" s="2">
        <v>18.600000000000001</v>
      </c>
      <c r="V6" s="2">
        <v>49.2</v>
      </c>
      <c r="W6" s="2">
        <v>101.5</v>
      </c>
      <c r="X6" s="2">
        <v>133.5</v>
      </c>
      <c r="Y6" s="2">
        <v>38.299999999999997</v>
      </c>
      <c r="Z6" s="2">
        <v>102.9</v>
      </c>
      <c r="AA6" s="2">
        <v>169.7</v>
      </c>
    </row>
    <row r="7" spans="1:27" x14ac:dyDescent="0.25">
      <c r="A7">
        <v>1997</v>
      </c>
      <c r="B7" s="2">
        <v>11.2</v>
      </c>
      <c r="C7" s="2">
        <v>10.4</v>
      </c>
      <c r="D7" s="2">
        <v>12.2</v>
      </c>
      <c r="E7" s="2">
        <v>11.3</v>
      </c>
      <c r="F7" s="2">
        <v>18.8</v>
      </c>
      <c r="G7" s="2">
        <v>23.3</v>
      </c>
      <c r="H7" s="2">
        <v>24.7</v>
      </c>
      <c r="I7" s="2">
        <v>24.8</v>
      </c>
      <c r="J7" s="2">
        <v>22.5</v>
      </c>
      <c r="K7" s="2">
        <v>16.899999999999999</v>
      </c>
      <c r="L7" s="2">
        <v>14.5</v>
      </c>
      <c r="M7" s="2">
        <v>11.4</v>
      </c>
      <c r="O7">
        <v>1997</v>
      </c>
      <c r="P7" s="2">
        <v>48.9</v>
      </c>
      <c r="Q7" s="2">
        <v>88.2</v>
      </c>
      <c r="R7" s="2">
        <v>23.7</v>
      </c>
      <c r="S7" s="2">
        <v>94</v>
      </c>
      <c r="T7" s="2">
        <v>22.7</v>
      </c>
      <c r="U7" s="2">
        <v>3.6</v>
      </c>
      <c r="V7" s="2">
        <v>12.8</v>
      </c>
      <c r="W7" s="2">
        <v>6.7</v>
      </c>
      <c r="X7" s="2">
        <v>14.1</v>
      </c>
      <c r="Y7" s="2">
        <v>51.2</v>
      </c>
      <c r="Z7" s="2">
        <v>169.2</v>
      </c>
      <c r="AA7" s="2">
        <v>136.69999999999999</v>
      </c>
    </row>
    <row r="8" spans="1:27" x14ac:dyDescent="0.25">
      <c r="A8">
        <v>1998</v>
      </c>
      <c r="B8" s="2">
        <v>10.6</v>
      </c>
      <c r="C8" s="2">
        <v>11.9</v>
      </c>
      <c r="D8" s="2">
        <v>10.3</v>
      </c>
      <c r="E8" s="2">
        <v>14.8</v>
      </c>
      <c r="F8" s="2">
        <v>18.600000000000001</v>
      </c>
      <c r="G8" s="2">
        <v>23.4</v>
      </c>
      <c r="H8" s="2">
        <v>26.8</v>
      </c>
      <c r="I8" s="2">
        <v>27</v>
      </c>
      <c r="J8" s="2">
        <v>21.7</v>
      </c>
      <c r="K8" s="2">
        <v>18.600000000000001</v>
      </c>
      <c r="L8" s="2">
        <v>12.3</v>
      </c>
      <c r="M8" s="2">
        <v>9.4</v>
      </c>
      <c r="O8">
        <v>1998</v>
      </c>
      <c r="P8" s="2">
        <v>32.299999999999997</v>
      </c>
      <c r="Q8" s="2">
        <v>51.8</v>
      </c>
      <c r="R8" s="2">
        <v>14.9</v>
      </c>
      <c r="S8" s="2">
        <v>51.6</v>
      </c>
      <c r="T8" s="2">
        <v>79.400000000000006</v>
      </c>
      <c r="U8" s="2">
        <v>36.6</v>
      </c>
      <c r="V8" s="2">
        <v>17.2</v>
      </c>
      <c r="W8" s="2">
        <v>64.400000000000006</v>
      </c>
      <c r="X8" s="2">
        <v>47.5</v>
      </c>
      <c r="Y8" s="2">
        <v>12.9</v>
      </c>
      <c r="Z8" s="2">
        <v>137.9</v>
      </c>
      <c r="AA8" s="2">
        <v>114.2</v>
      </c>
    </row>
    <row r="9" spans="1:27" x14ac:dyDescent="0.25">
      <c r="A9">
        <v>1999</v>
      </c>
      <c r="B9" s="2">
        <v>10.1</v>
      </c>
      <c r="C9" s="2">
        <v>8.6999999999999993</v>
      </c>
      <c r="D9" s="2">
        <v>12.2</v>
      </c>
      <c r="E9" s="2">
        <v>14.9</v>
      </c>
      <c r="F9" s="2">
        <v>19.899999999999999</v>
      </c>
      <c r="G9" s="2">
        <v>24</v>
      </c>
      <c r="H9" s="2">
        <v>25.7</v>
      </c>
      <c r="I9" s="2">
        <v>26.4</v>
      </c>
      <c r="J9" s="2">
        <v>23</v>
      </c>
      <c r="K9" s="2">
        <v>18.8</v>
      </c>
      <c r="L9" s="2">
        <v>13.9</v>
      </c>
      <c r="M9" s="2">
        <v>11.5</v>
      </c>
      <c r="O9">
        <v>1999</v>
      </c>
      <c r="P9" s="2">
        <v>71.3</v>
      </c>
      <c r="Q9" s="2">
        <v>32.700000000000003</v>
      </c>
      <c r="R9" s="2">
        <v>18.3</v>
      </c>
      <c r="S9" s="2">
        <v>61.7</v>
      </c>
      <c r="T9" s="2">
        <v>9</v>
      </c>
      <c r="U9" s="2">
        <v>42.5</v>
      </c>
      <c r="V9" s="2">
        <v>20.6</v>
      </c>
      <c r="W9" s="2">
        <v>69.099999999999994</v>
      </c>
      <c r="X9" s="2">
        <v>52.6</v>
      </c>
      <c r="Y9" s="2">
        <v>29.8</v>
      </c>
      <c r="Z9" s="2">
        <v>170.5</v>
      </c>
      <c r="AA9" s="2">
        <v>42</v>
      </c>
    </row>
    <row r="10" spans="1:27" x14ac:dyDescent="0.25">
      <c r="A10">
        <v>2000</v>
      </c>
      <c r="B10" s="2">
        <v>8.5</v>
      </c>
      <c r="C10" s="2">
        <v>9.9</v>
      </c>
      <c r="D10" s="2">
        <v>11.5</v>
      </c>
      <c r="E10" s="2">
        <v>16.2</v>
      </c>
      <c r="F10" s="2">
        <v>21.2</v>
      </c>
      <c r="G10" s="2">
        <v>24.5</v>
      </c>
      <c r="H10" s="2">
        <v>25.2</v>
      </c>
      <c r="I10" s="2">
        <v>26.5</v>
      </c>
      <c r="J10" s="2">
        <v>21.8</v>
      </c>
      <c r="K10" s="2">
        <v>19.5</v>
      </c>
      <c r="L10" s="2">
        <v>16.7</v>
      </c>
      <c r="M10" s="2">
        <v>13</v>
      </c>
      <c r="O10">
        <v>2000</v>
      </c>
      <c r="P10" s="2">
        <v>52.1</v>
      </c>
      <c r="Q10" s="2">
        <v>33</v>
      </c>
      <c r="R10" s="2">
        <v>22.6</v>
      </c>
      <c r="S10" s="2">
        <v>66.8</v>
      </c>
      <c r="T10" s="2">
        <v>2.9</v>
      </c>
      <c r="U10" s="2">
        <v>2.4</v>
      </c>
      <c r="V10" s="2">
        <v>90.7</v>
      </c>
      <c r="W10" s="2">
        <v>0</v>
      </c>
      <c r="X10" s="2">
        <v>62.1</v>
      </c>
      <c r="Y10" s="2">
        <v>60.4</v>
      </c>
      <c r="Z10" s="2">
        <v>88.1</v>
      </c>
      <c r="AA10" s="2">
        <v>74.400000000000006</v>
      </c>
    </row>
    <row r="11" spans="1:27" x14ac:dyDescent="0.25">
      <c r="A11">
        <v>2001</v>
      </c>
      <c r="B11" s="19">
        <v>11.7</v>
      </c>
      <c r="C11" s="19">
        <v>11</v>
      </c>
      <c r="D11" s="19">
        <v>15.2</v>
      </c>
      <c r="E11" s="19">
        <v>13.8</v>
      </c>
      <c r="F11" s="19">
        <v>20</v>
      </c>
      <c r="G11" s="19">
        <v>22.3</v>
      </c>
      <c r="H11" s="19">
        <v>26.1</v>
      </c>
      <c r="I11" s="19">
        <v>27.2</v>
      </c>
      <c r="J11" s="19">
        <v>20.100000000000001</v>
      </c>
      <c r="K11" s="19">
        <v>19.8</v>
      </c>
      <c r="L11" s="19">
        <v>13.5</v>
      </c>
      <c r="M11" s="19">
        <v>8.1999999999999993</v>
      </c>
      <c r="O11">
        <v>2001</v>
      </c>
      <c r="P11" s="2">
        <v>177.4</v>
      </c>
      <c r="Q11" s="2">
        <v>21.5</v>
      </c>
      <c r="R11" s="2">
        <v>38.9</v>
      </c>
      <c r="S11" s="2">
        <v>63.4</v>
      </c>
      <c r="T11" s="2">
        <v>47.4</v>
      </c>
      <c r="U11" s="2">
        <v>29.5</v>
      </c>
      <c r="V11" s="2">
        <v>6.4</v>
      </c>
      <c r="W11" s="2">
        <v>8.5</v>
      </c>
      <c r="X11" s="2">
        <v>61.2</v>
      </c>
      <c r="Y11" s="2">
        <v>5.5</v>
      </c>
      <c r="Z11" s="2">
        <v>153.9</v>
      </c>
      <c r="AA11" s="2">
        <v>19</v>
      </c>
    </row>
    <row r="12" spans="1:27" x14ac:dyDescent="0.25">
      <c r="A12">
        <v>2002</v>
      </c>
      <c r="B12" s="20">
        <v>8.4</v>
      </c>
      <c r="C12" s="20">
        <v>12</v>
      </c>
      <c r="D12" s="20">
        <v>13.5</v>
      </c>
      <c r="E12" s="20">
        <v>14.8</v>
      </c>
      <c r="F12" s="20">
        <v>19.600000000000001</v>
      </c>
      <c r="G12" s="20">
        <v>24.5</v>
      </c>
      <c r="H12" s="20">
        <v>26</v>
      </c>
      <c r="I12" s="20">
        <v>24.9</v>
      </c>
      <c r="J12" s="20">
        <v>20.9</v>
      </c>
      <c r="K12" s="20">
        <v>18</v>
      </c>
      <c r="L12" s="20">
        <v>15.7</v>
      </c>
      <c r="M12" s="20">
        <v>11.9</v>
      </c>
      <c r="O12">
        <v>2002</v>
      </c>
      <c r="P12" s="2">
        <v>77</v>
      </c>
      <c r="Q12" s="2">
        <v>26</v>
      </c>
      <c r="R12" s="2">
        <v>8</v>
      </c>
      <c r="S12" s="2">
        <v>41</v>
      </c>
      <c r="T12" s="2">
        <v>51</v>
      </c>
      <c r="U12" s="2">
        <v>5</v>
      </c>
      <c r="V12" s="2">
        <v>28</v>
      </c>
      <c r="W12" s="2">
        <v>304</v>
      </c>
      <c r="X12" s="2">
        <v>66</v>
      </c>
      <c r="Y12" s="2">
        <v>22</v>
      </c>
      <c r="Z12" s="2">
        <v>34</v>
      </c>
      <c r="AA12" s="2">
        <v>268</v>
      </c>
    </row>
    <row r="13" spans="1:27" x14ac:dyDescent="0.25">
      <c r="A13">
        <v>2003</v>
      </c>
      <c r="B13" s="20">
        <v>10.6</v>
      </c>
      <c r="C13" s="20">
        <v>6.8</v>
      </c>
      <c r="D13" s="20">
        <v>11.3</v>
      </c>
      <c r="E13" s="20">
        <v>14.4</v>
      </c>
      <c r="F13" s="20">
        <v>21.2</v>
      </c>
      <c r="G13" s="20">
        <v>26.7</v>
      </c>
      <c r="H13" s="20">
        <v>27</v>
      </c>
      <c r="I13" s="20">
        <v>28.7</v>
      </c>
      <c r="J13" s="20">
        <v>21.2</v>
      </c>
      <c r="K13" s="20">
        <v>17.3</v>
      </c>
      <c r="L13" s="20">
        <v>15.6</v>
      </c>
      <c r="M13" s="20">
        <v>11.8</v>
      </c>
      <c r="O13">
        <v>2003</v>
      </c>
      <c r="P13" s="2">
        <v>127.2</v>
      </c>
      <c r="Q13" s="2">
        <v>58.5</v>
      </c>
      <c r="R13" s="2">
        <v>68.2</v>
      </c>
      <c r="S13" s="2">
        <v>64.900000000000006</v>
      </c>
      <c r="T13" s="2">
        <v>8.6999999999999993</v>
      </c>
      <c r="U13" s="2">
        <v>22.6</v>
      </c>
      <c r="V13" s="2">
        <v>23.9</v>
      </c>
      <c r="W13" s="2">
        <v>4.5999999999999996</v>
      </c>
      <c r="X13" s="2">
        <v>37</v>
      </c>
      <c r="Y13" s="2">
        <v>91.5</v>
      </c>
      <c r="Z13" s="2">
        <v>19.600000000000001</v>
      </c>
      <c r="AA13" s="2">
        <v>72.8</v>
      </c>
    </row>
    <row r="14" spans="1:27" x14ac:dyDescent="0.25">
      <c r="A14">
        <v>2004</v>
      </c>
      <c r="B14" s="19">
        <v>8.5</v>
      </c>
      <c r="C14" s="19">
        <v>10.1</v>
      </c>
      <c r="D14" s="19">
        <v>11.2</v>
      </c>
      <c r="E14" s="19">
        <v>14.9</v>
      </c>
      <c r="F14" s="19">
        <v>17</v>
      </c>
      <c r="G14" s="19">
        <v>22.6</v>
      </c>
      <c r="H14" s="19">
        <v>26.4</v>
      </c>
      <c r="I14" s="19">
        <v>25.3</v>
      </c>
      <c r="J14" s="19">
        <v>22.3</v>
      </c>
      <c r="K14" s="19">
        <v>20</v>
      </c>
      <c r="L14" s="19">
        <v>14.5</v>
      </c>
      <c r="M14" s="19">
        <v>12.7</v>
      </c>
      <c r="O14">
        <v>2004</v>
      </c>
      <c r="P14" s="2">
        <v>75.7</v>
      </c>
      <c r="Q14" s="2">
        <v>52.9</v>
      </c>
      <c r="R14" s="2">
        <v>177.5</v>
      </c>
      <c r="S14" s="2">
        <v>81.8</v>
      </c>
      <c r="T14" s="2">
        <v>44.4</v>
      </c>
      <c r="U14" s="2">
        <v>52.7</v>
      </c>
      <c r="V14" s="2">
        <v>14.9</v>
      </c>
      <c r="W14" s="2">
        <v>38.799999999999997</v>
      </c>
      <c r="X14" s="2">
        <v>45.8</v>
      </c>
      <c r="Y14" s="2">
        <v>20.7</v>
      </c>
      <c r="Z14" s="2">
        <v>132.1</v>
      </c>
      <c r="AA14" s="2">
        <v>189.3</v>
      </c>
    </row>
    <row r="15" spans="1:27" x14ac:dyDescent="0.25">
      <c r="A15">
        <v>2005</v>
      </c>
      <c r="B15" s="2">
        <v>9</v>
      </c>
      <c r="C15" s="2">
        <v>7.2</v>
      </c>
      <c r="D15" s="2">
        <v>10.9</v>
      </c>
      <c r="E15" s="2">
        <v>14.3</v>
      </c>
      <c r="F15" s="2">
        <v>20.100000000000001</v>
      </c>
      <c r="G15" s="2">
        <v>23.1</v>
      </c>
      <c r="H15" s="2">
        <v>25.8</v>
      </c>
      <c r="I15" s="2">
        <v>23.6</v>
      </c>
      <c r="J15" s="2">
        <v>22.2</v>
      </c>
      <c r="K15" s="2">
        <v>17.5</v>
      </c>
      <c r="L15" s="2">
        <v>13.1</v>
      </c>
      <c r="M15" s="2">
        <v>9.9</v>
      </c>
      <c r="O15">
        <v>2005</v>
      </c>
      <c r="P15" s="2">
        <v>96.9</v>
      </c>
      <c r="Q15" s="2">
        <v>195.5</v>
      </c>
      <c r="R15" s="2">
        <v>20.6</v>
      </c>
      <c r="S15" s="2">
        <v>76.599999999999994</v>
      </c>
      <c r="T15" s="2">
        <v>8.5</v>
      </c>
      <c r="U15" s="2">
        <v>56.6</v>
      </c>
      <c r="V15" s="2">
        <v>56.7</v>
      </c>
      <c r="W15" s="2">
        <v>27.7</v>
      </c>
      <c r="X15" s="2">
        <v>51.7</v>
      </c>
      <c r="Y15" s="2">
        <v>120.2</v>
      </c>
      <c r="Z15" s="2">
        <v>87.8</v>
      </c>
      <c r="AA15" s="2">
        <v>125.3</v>
      </c>
    </row>
    <row r="16" spans="1:27" x14ac:dyDescent="0.25">
      <c r="A16">
        <v>2006</v>
      </c>
      <c r="B16" s="2">
        <v>8.1999999999999993</v>
      </c>
      <c r="C16" s="2">
        <v>8.9</v>
      </c>
      <c r="D16" s="2">
        <v>10.199999999999999</v>
      </c>
      <c r="E16" s="2">
        <v>14.9</v>
      </c>
      <c r="F16" s="2">
        <v>18.8</v>
      </c>
      <c r="G16" s="2">
        <v>22.2</v>
      </c>
      <c r="H16" s="2">
        <v>25.9</v>
      </c>
      <c r="I16" s="2">
        <v>23.9</v>
      </c>
      <c r="J16" s="2">
        <v>21.7</v>
      </c>
      <c r="K16" s="2">
        <v>18.7</v>
      </c>
      <c r="L16" s="2">
        <v>13.6</v>
      </c>
      <c r="M16" s="2">
        <v>11.5</v>
      </c>
      <c r="O16">
        <v>2006</v>
      </c>
      <c r="P16" s="2">
        <v>99.3</v>
      </c>
      <c r="Q16" s="2">
        <v>52.6</v>
      </c>
      <c r="R16" s="2">
        <v>102.9</v>
      </c>
      <c r="S16" s="2">
        <v>69.7</v>
      </c>
      <c r="T16" s="2">
        <v>23.8</v>
      </c>
      <c r="U16" s="2">
        <v>75.900000000000006</v>
      </c>
      <c r="V16" s="2">
        <v>9.8000000000000007</v>
      </c>
      <c r="W16" s="2">
        <v>168.6</v>
      </c>
      <c r="X16" s="2">
        <v>96.3</v>
      </c>
      <c r="Y16" s="2">
        <v>11.2</v>
      </c>
      <c r="Z16" s="2">
        <v>20.8</v>
      </c>
      <c r="AA16" s="2">
        <v>24.4</v>
      </c>
    </row>
    <row r="17" spans="1:27" x14ac:dyDescent="0.25">
      <c r="A17">
        <v>2007</v>
      </c>
      <c r="B17" s="2">
        <v>11.6</v>
      </c>
      <c r="C17" s="2">
        <v>11.7</v>
      </c>
      <c r="D17" s="2">
        <v>12.8</v>
      </c>
      <c r="E17" s="2">
        <v>16.100000000000001</v>
      </c>
      <c r="F17" s="2">
        <v>20.399999999999999</v>
      </c>
      <c r="G17" s="2">
        <v>24.4</v>
      </c>
      <c r="H17" s="2">
        <v>27.1</v>
      </c>
      <c r="I17" s="2">
        <v>25.2</v>
      </c>
      <c r="J17" s="2">
        <v>19.7</v>
      </c>
      <c r="K17" s="2">
        <v>16.3</v>
      </c>
      <c r="L17" s="2">
        <v>11.8</v>
      </c>
      <c r="M17" s="2">
        <v>9.3000000000000007</v>
      </c>
      <c r="O17">
        <v>2007</v>
      </c>
      <c r="P17" s="2">
        <v>13.9</v>
      </c>
      <c r="Q17" s="2">
        <v>50.4</v>
      </c>
      <c r="R17" s="2">
        <v>192.2</v>
      </c>
      <c r="S17" s="2">
        <v>35.9</v>
      </c>
      <c r="T17" s="2">
        <v>45.7</v>
      </c>
      <c r="U17" s="2">
        <v>6</v>
      </c>
      <c r="V17" s="2">
        <v>0.2</v>
      </c>
      <c r="W17" s="2">
        <v>24.9</v>
      </c>
      <c r="X17" s="2">
        <v>47.4</v>
      </c>
      <c r="Y17" s="2">
        <v>113.8</v>
      </c>
      <c r="Z17" s="2">
        <v>128.69999999999999</v>
      </c>
      <c r="AA17" s="2">
        <v>36.200000000000003</v>
      </c>
    </row>
    <row r="18" spans="1:27" x14ac:dyDescent="0.25">
      <c r="A18">
        <v>2008</v>
      </c>
      <c r="B18" s="2">
        <v>10.5</v>
      </c>
      <c r="C18" s="2">
        <v>9.9</v>
      </c>
      <c r="D18" s="2">
        <v>12.1</v>
      </c>
      <c r="E18" s="2">
        <v>14.7</v>
      </c>
      <c r="F18" s="2">
        <v>19.5</v>
      </c>
      <c r="G18" s="2">
        <v>23.2</v>
      </c>
      <c r="H18" s="2">
        <v>26.1</v>
      </c>
      <c r="I18" s="2">
        <v>26.1</v>
      </c>
      <c r="J18" s="2">
        <v>20.7</v>
      </c>
      <c r="K18" s="2">
        <v>18</v>
      </c>
      <c r="L18" s="2">
        <v>14.4</v>
      </c>
      <c r="M18" s="2">
        <v>11.3</v>
      </c>
      <c r="O18">
        <v>2008</v>
      </c>
      <c r="P18" s="2">
        <v>38.9</v>
      </c>
      <c r="Q18" s="2">
        <v>4.5999999999999996</v>
      </c>
      <c r="R18" s="2">
        <v>187.4</v>
      </c>
      <c r="S18" s="2">
        <v>102.6</v>
      </c>
      <c r="T18" s="2">
        <v>5.7</v>
      </c>
      <c r="U18" s="2">
        <v>85.9</v>
      </c>
      <c r="V18" s="2">
        <v>16</v>
      </c>
      <c r="W18" s="2">
        <v>0</v>
      </c>
      <c r="X18" s="2">
        <v>16</v>
      </c>
      <c r="Y18" s="2">
        <v>13.8</v>
      </c>
      <c r="Z18" s="2">
        <v>201.5</v>
      </c>
      <c r="AA18" s="2">
        <v>140</v>
      </c>
    </row>
    <row r="19" spans="1:27" x14ac:dyDescent="0.25">
      <c r="A19">
        <v>2009</v>
      </c>
      <c r="B19" s="2">
        <v>10</v>
      </c>
      <c r="C19" s="2">
        <v>8.6</v>
      </c>
      <c r="D19" s="2">
        <v>11.2</v>
      </c>
      <c r="E19" s="2">
        <v>15.2</v>
      </c>
      <c r="F19" s="2">
        <v>20.8</v>
      </c>
      <c r="G19" s="2">
        <v>21.8</v>
      </c>
      <c r="H19" s="2">
        <v>25.7</v>
      </c>
      <c r="I19" s="2">
        <v>26.4</v>
      </c>
      <c r="J19" s="2">
        <v>22.8</v>
      </c>
      <c r="K19" s="2">
        <v>16.8</v>
      </c>
      <c r="L19" s="2">
        <v>14</v>
      </c>
      <c r="M19" s="2">
        <v>11.4</v>
      </c>
      <c r="O19">
        <v>2009</v>
      </c>
      <c r="P19" s="2">
        <v>176.4</v>
      </c>
      <c r="Q19" s="2">
        <v>72.099999999999994</v>
      </c>
      <c r="R19" s="2">
        <v>105.7</v>
      </c>
      <c r="S19" s="2">
        <v>99.7</v>
      </c>
      <c r="T19" s="2">
        <v>50.7</v>
      </c>
      <c r="U19" s="2">
        <v>126.9</v>
      </c>
      <c r="V19" s="2">
        <v>5.3</v>
      </c>
      <c r="W19" s="2">
        <v>3.4</v>
      </c>
      <c r="X19" s="2">
        <v>23.3</v>
      </c>
      <c r="Y19" s="2">
        <v>106.7</v>
      </c>
      <c r="Z19" s="2">
        <v>93.2</v>
      </c>
      <c r="AA19" s="2">
        <v>253.2</v>
      </c>
    </row>
    <row r="20" spans="1:27" x14ac:dyDescent="0.25">
      <c r="A20">
        <v>2010</v>
      </c>
      <c r="B20" s="2">
        <v>8.4</v>
      </c>
      <c r="C20" s="2">
        <v>9.6999999999999993</v>
      </c>
      <c r="D20" s="2">
        <v>11.1</v>
      </c>
      <c r="E20" s="2">
        <v>14.8</v>
      </c>
      <c r="F20" s="2">
        <v>18.399999999999999</v>
      </c>
      <c r="G20" s="2">
        <v>22.9</v>
      </c>
      <c r="H20" s="2">
        <v>26.2</v>
      </c>
      <c r="I20" s="2">
        <v>25.4</v>
      </c>
      <c r="J20" s="2">
        <v>21.1</v>
      </c>
      <c r="K20" s="2">
        <v>16.899999999999999</v>
      </c>
      <c r="L20" s="2">
        <v>15.1</v>
      </c>
      <c r="M20" s="2">
        <v>9.9</v>
      </c>
      <c r="O20">
        <v>2010</v>
      </c>
      <c r="P20" s="2">
        <v>148.6</v>
      </c>
      <c r="Q20" s="2">
        <v>190</v>
      </c>
      <c r="R20" s="2">
        <v>110.4</v>
      </c>
      <c r="S20" s="2">
        <v>76.7</v>
      </c>
      <c r="T20" s="2">
        <v>20.2</v>
      </c>
      <c r="U20" s="2">
        <v>29.5</v>
      </c>
      <c r="V20" s="2">
        <v>9.3000000000000007</v>
      </c>
      <c r="W20" s="2">
        <v>12.7</v>
      </c>
      <c r="X20" s="2">
        <v>60.3</v>
      </c>
      <c r="Y20" s="2">
        <v>75.7</v>
      </c>
      <c r="Z20" s="2">
        <v>116.4</v>
      </c>
      <c r="AA20" s="2">
        <v>77.099999999999994</v>
      </c>
    </row>
    <row r="21" spans="1:27" x14ac:dyDescent="0.25">
      <c r="A21">
        <v>2011</v>
      </c>
      <c r="B21" s="2">
        <v>9.3000000000000007</v>
      </c>
      <c r="C21" s="2">
        <v>9.6999999999999993</v>
      </c>
      <c r="D21" s="2">
        <v>11.7</v>
      </c>
      <c r="E21" s="2">
        <v>15.8</v>
      </c>
      <c r="F21" s="2">
        <v>18.899999999999999</v>
      </c>
      <c r="G21" s="2">
        <v>23.5</v>
      </c>
      <c r="H21" s="2">
        <v>25</v>
      </c>
      <c r="I21" s="2">
        <v>26.3</v>
      </c>
      <c r="J21" s="2">
        <v>24.7</v>
      </c>
      <c r="K21" s="2">
        <v>17.7</v>
      </c>
      <c r="L21" s="2">
        <v>14.5</v>
      </c>
      <c r="M21" s="2">
        <v>11.9</v>
      </c>
      <c r="O21">
        <v>2011</v>
      </c>
      <c r="P21" s="2">
        <v>114.9</v>
      </c>
      <c r="Q21" s="2">
        <v>26.7</v>
      </c>
      <c r="R21" s="2">
        <v>112.5</v>
      </c>
      <c r="S21" s="2">
        <v>7.2</v>
      </c>
      <c r="T21" s="2">
        <v>88.5</v>
      </c>
      <c r="U21" s="2">
        <v>124.5</v>
      </c>
      <c r="V21" s="2">
        <v>33.9</v>
      </c>
      <c r="W21" s="2">
        <v>0</v>
      </c>
      <c r="X21" s="2">
        <v>14.6</v>
      </c>
      <c r="Y21" s="2">
        <v>36.700000000000003</v>
      </c>
      <c r="Z21" s="2">
        <v>202</v>
      </c>
      <c r="AA21" s="2">
        <v>82.3</v>
      </c>
    </row>
    <row r="22" spans="1:27" x14ac:dyDescent="0.25">
      <c r="A22">
        <v>2012</v>
      </c>
      <c r="B22" s="2">
        <v>8.9</v>
      </c>
      <c r="C22" s="2">
        <v>7.2</v>
      </c>
      <c r="D22" s="2">
        <v>12.9</v>
      </c>
      <c r="E22" s="2">
        <v>14.5</v>
      </c>
      <c r="F22" s="2">
        <v>18.399999999999999</v>
      </c>
      <c r="G22" s="2">
        <v>24.6</v>
      </c>
      <c r="H22" s="2">
        <v>27.8</v>
      </c>
      <c r="I22" s="2">
        <v>27.1</v>
      </c>
      <c r="J22" s="2">
        <v>22.6</v>
      </c>
      <c r="K22" s="2">
        <v>18.8</v>
      </c>
      <c r="L22" s="2">
        <v>16.399999999999999</v>
      </c>
      <c r="M22" s="2">
        <v>10.3</v>
      </c>
      <c r="O22">
        <v>2012</v>
      </c>
      <c r="P22" s="2">
        <v>27.9</v>
      </c>
      <c r="Q22" s="2">
        <v>192.6</v>
      </c>
      <c r="R22" s="2">
        <v>16.8</v>
      </c>
      <c r="S22" s="2">
        <v>98.6</v>
      </c>
      <c r="T22" s="2">
        <v>36.9</v>
      </c>
      <c r="U22" s="2">
        <v>6.5</v>
      </c>
      <c r="V22" s="2">
        <v>6.1</v>
      </c>
      <c r="W22" s="2">
        <v>4</v>
      </c>
      <c r="X22" s="2">
        <v>174.1</v>
      </c>
      <c r="Y22" s="2">
        <v>48.4</v>
      </c>
      <c r="Z22" s="2">
        <v>89.9</v>
      </c>
      <c r="AA22" s="2">
        <v>150.1</v>
      </c>
    </row>
    <row r="23" spans="1:27" x14ac:dyDescent="0.25">
      <c r="A23">
        <v>2013</v>
      </c>
      <c r="B23" s="2">
        <v>10.4</v>
      </c>
      <c r="C23" s="2">
        <v>9.1</v>
      </c>
      <c r="D23" s="2">
        <v>11.5</v>
      </c>
      <c r="E23" s="2">
        <v>16.5</v>
      </c>
      <c r="F23" s="2">
        <v>18.7</v>
      </c>
      <c r="G23" s="2">
        <v>22.2</v>
      </c>
      <c r="H23" s="2">
        <v>26</v>
      </c>
      <c r="I23" s="2">
        <v>26.1</v>
      </c>
      <c r="J23" s="2">
        <v>21.9</v>
      </c>
      <c r="K23" s="2">
        <v>18.5</v>
      </c>
      <c r="L23" s="2">
        <v>15.3</v>
      </c>
      <c r="M23" s="2">
        <v>12</v>
      </c>
      <c r="O23">
        <v>2013</v>
      </c>
      <c r="P23" s="2">
        <v>115</v>
      </c>
      <c r="Q23" s="2">
        <v>135.1</v>
      </c>
      <c r="R23" s="2">
        <v>147.30000000000001</v>
      </c>
      <c r="S23" s="2">
        <v>36.5</v>
      </c>
      <c r="T23" s="2">
        <v>82.2</v>
      </c>
      <c r="U23" s="2">
        <v>8</v>
      </c>
      <c r="V23" s="2">
        <v>1.4</v>
      </c>
      <c r="W23" s="2">
        <v>1.5</v>
      </c>
      <c r="X23" s="2">
        <v>18.100000000000001</v>
      </c>
      <c r="Y23" s="2">
        <v>89.3</v>
      </c>
      <c r="Z23" s="2">
        <v>115.1</v>
      </c>
      <c r="AA23" s="2">
        <v>65.7</v>
      </c>
    </row>
    <row r="24" spans="1:27" x14ac:dyDescent="0.25">
      <c r="A24">
        <v>2014</v>
      </c>
      <c r="B24" s="2">
        <v>12.5</v>
      </c>
      <c r="C24" s="2">
        <v>12.8</v>
      </c>
      <c r="D24" s="2">
        <v>12.9</v>
      </c>
      <c r="E24" s="2">
        <v>14.9</v>
      </c>
      <c r="F24" s="2">
        <v>17.399999999999999</v>
      </c>
      <c r="G24" s="2">
        <v>22.8</v>
      </c>
      <c r="H24" s="2">
        <v>24</v>
      </c>
      <c r="I24" s="2">
        <v>24.8</v>
      </c>
      <c r="J24" s="2">
        <v>20.8</v>
      </c>
      <c r="K24" s="2">
        <v>18.399999999999999</v>
      </c>
      <c r="L24" s="2">
        <v>16.2</v>
      </c>
      <c r="M24" s="2">
        <v>11.3</v>
      </c>
      <c r="O24">
        <v>2014</v>
      </c>
      <c r="P24" s="2">
        <v>57.4</v>
      </c>
      <c r="Q24" s="2">
        <v>96.4</v>
      </c>
      <c r="R24" s="2">
        <v>113.5</v>
      </c>
      <c r="S24" s="2">
        <v>109</v>
      </c>
      <c r="T24" s="2">
        <v>69.400000000000006</v>
      </c>
      <c r="U24" s="2">
        <v>177.6</v>
      </c>
      <c r="V24" s="2">
        <v>71.099999999999994</v>
      </c>
      <c r="W24" s="2">
        <v>8.4</v>
      </c>
      <c r="X24" s="2">
        <v>317.3</v>
      </c>
      <c r="Y24" s="2">
        <v>33</v>
      </c>
      <c r="Z24" s="2">
        <v>67.2</v>
      </c>
      <c r="AA24" s="2">
        <v>148.69999999999999</v>
      </c>
    </row>
    <row r="25" spans="1:27" x14ac:dyDescent="0.25">
      <c r="A25">
        <v>2015</v>
      </c>
      <c r="B25" s="2">
        <v>10.3</v>
      </c>
      <c r="C25" s="2">
        <v>9.9</v>
      </c>
      <c r="D25" s="2">
        <v>11.6</v>
      </c>
      <c r="E25" s="2">
        <v>14</v>
      </c>
      <c r="F25" s="2">
        <v>19.600000000000001</v>
      </c>
      <c r="G25" s="2">
        <v>23.3</v>
      </c>
      <c r="H25" s="2">
        <v>27.8</v>
      </c>
      <c r="I25" s="2">
        <v>26.2</v>
      </c>
      <c r="J25" s="2">
        <v>22.6</v>
      </c>
      <c r="K25" s="2">
        <v>17.8</v>
      </c>
      <c r="L25" s="2">
        <v>14.5</v>
      </c>
      <c r="M25" s="2">
        <v>12.5</v>
      </c>
      <c r="O25">
        <v>2015</v>
      </c>
      <c r="P25" s="2">
        <v>73.099999999999994</v>
      </c>
      <c r="Q25" s="2">
        <v>181.6</v>
      </c>
      <c r="R25" s="2">
        <v>145</v>
      </c>
      <c r="S25" s="2">
        <v>51.5</v>
      </c>
      <c r="T25" s="2">
        <v>57.5</v>
      </c>
      <c r="U25" s="2">
        <v>18.5</v>
      </c>
      <c r="V25" s="2">
        <v>13.5</v>
      </c>
      <c r="W25" s="2">
        <v>105.3</v>
      </c>
      <c r="X25" s="2">
        <v>89</v>
      </c>
      <c r="Y25" s="2">
        <v>176</v>
      </c>
      <c r="Z25" s="2">
        <v>54.7</v>
      </c>
      <c r="AA25" s="2">
        <v>0</v>
      </c>
    </row>
    <row r="26" spans="1:27" x14ac:dyDescent="0.25">
      <c r="A26">
        <v>2016</v>
      </c>
      <c r="B26" s="7">
        <v>10.4</v>
      </c>
      <c r="C26" s="7">
        <v>12.6</v>
      </c>
      <c r="D26" s="7">
        <v>11.9</v>
      </c>
      <c r="E26" s="7">
        <v>16</v>
      </c>
      <c r="F26" s="7">
        <v>18.100000000000001</v>
      </c>
      <c r="G26" s="7">
        <v>22.5</v>
      </c>
      <c r="H26" s="7">
        <v>26.1</v>
      </c>
      <c r="I26" s="7">
        <v>24.9</v>
      </c>
      <c r="J26" s="7">
        <v>22.1</v>
      </c>
      <c r="K26" s="7">
        <v>17.2</v>
      </c>
      <c r="L26" s="7">
        <v>14.3</v>
      </c>
      <c r="M26" s="7">
        <v>10.9</v>
      </c>
      <c r="O26">
        <v>2016</v>
      </c>
      <c r="P26" s="2">
        <v>31.9</v>
      </c>
      <c r="Q26" s="2">
        <v>57.5</v>
      </c>
      <c r="R26" s="2">
        <v>70.900000000000006</v>
      </c>
      <c r="S26" s="2">
        <v>85.5</v>
      </c>
      <c r="T26" s="2">
        <v>38.299999999999997</v>
      </c>
      <c r="U26" s="2">
        <v>37.299999999999997</v>
      </c>
      <c r="V26" s="2">
        <v>18.7</v>
      </c>
      <c r="W26" s="2">
        <v>12.1</v>
      </c>
      <c r="X26" s="2">
        <v>45.8</v>
      </c>
      <c r="Y26" s="2">
        <v>80</v>
      </c>
      <c r="Z26" s="2">
        <v>48.6</v>
      </c>
      <c r="AA26" s="2">
        <v>10.5</v>
      </c>
    </row>
    <row r="27" spans="1:27" x14ac:dyDescent="0.25">
      <c r="A27">
        <v>2017</v>
      </c>
      <c r="B27" s="7">
        <v>6.3</v>
      </c>
      <c r="C27" s="7">
        <v>11.2</v>
      </c>
      <c r="D27" s="7">
        <v>13.2</v>
      </c>
      <c r="E27" s="7">
        <v>14.3</v>
      </c>
      <c r="F27" s="7">
        <v>19.2</v>
      </c>
      <c r="G27" s="7">
        <v>24.2</v>
      </c>
      <c r="H27" s="7">
        <v>26.2</v>
      </c>
      <c r="I27" s="7">
        <v>27.6</v>
      </c>
      <c r="J27" s="7">
        <v>20.8</v>
      </c>
      <c r="K27" s="7">
        <v>17</v>
      </c>
      <c r="L27" s="7">
        <v>13.3</v>
      </c>
      <c r="M27" s="7">
        <v>10</v>
      </c>
      <c r="O27">
        <v>2017</v>
      </c>
      <c r="P27" s="2">
        <v>155.69999999999999</v>
      </c>
      <c r="Q27" s="2">
        <v>25.9</v>
      </c>
      <c r="R27" s="2">
        <v>47.5</v>
      </c>
      <c r="S27" s="2">
        <v>51.4</v>
      </c>
      <c r="T27" s="2">
        <v>35.5</v>
      </c>
      <c r="U27" s="2">
        <v>28.3</v>
      </c>
      <c r="V27" s="2">
        <v>4.3</v>
      </c>
      <c r="W27" s="2">
        <v>0.9</v>
      </c>
      <c r="X27" s="2">
        <v>145.69999999999999</v>
      </c>
      <c r="Y27" s="2">
        <v>24.9</v>
      </c>
      <c r="Z27" s="2">
        <v>121.9</v>
      </c>
      <c r="AA27" s="2">
        <v>84.4</v>
      </c>
    </row>
    <row r="28" spans="1:27" x14ac:dyDescent="0.25">
      <c r="A28">
        <v>2018</v>
      </c>
      <c r="B28" s="2">
        <v>11.2</v>
      </c>
      <c r="C28" s="2">
        <v>8.6999999999999993</v>
      </c>
      <c r="D28" s="2">
        <v>11.5</v>
      </c>
      <c r="E28" s="2">
        <v>17.100000000000001</v>
      </c>
      <c r="F28" s="2">
        <v>20.9</v>
      </c>
      <c r="G28" s="2">
        <v>24</v>
      </c>
      <c r="H28" s="2">
        <v>26</v>
      </c>
      <c r="I28" s="2">
        <v>26.6</v>
      </c>
      <c r="J28" s="2">
        <v>22.6</v>
      </c>
      <c r="K28" s="2">
        <v>19.600000000000001</v>
      </c>
      <c r="L28" s="2">
        <v>15.5</v>
      </c>
      <c r="M28" s="2">
        <v>10.8</v>
      </c>
      <c r="O28">
        <v>2018</v>
      </c>
      <c r="P28" s="2">
        <v>43.4</v>
      </c>
      <c r="Q28" s="2">
        <v>128.80000000000001</v>
      </c>
      <c r="R28" s="2">
        <v>136.30000000000001</v>
      </c>
      <c r="S28" s="2">
        <v>35.9</v>
      </c>
      <c r="T28" s="2">
        <v>24.6</v>
      </c>
      <c r="U28" s="2">
        <v>86</v>
      </c>
      <c r="V28" s="2">
        <v>36.1</v>
      </c>
      <c r="W28" s="2">
        <v>11.5</v>
      </c>
      <c r="X28" s="2">
        <v>9.1</v>
      </c>
      <c r="Y28" s="2">
        <v>21.4</v>
      </c>
      <c r="Z28" s="2">
        <v>71.5</v>
      </c>
      <c r="AA28" s="2">
        <v>115.9</v>
      </c>
    </row>
    <row r="29" spans="1:27" x14ac:dyDescent="0.25">
      <c r="A29">
        <v>2019</v>
      </c>
      <c r="B29" s="2">
        <v>8.1999999999999993</v>
      </c>
      <c r="C29" s="2">
        <v>10.6</v>
      </c>
      <c r="D29" s="2">
        <v>13.2</v>
      </c>
      <c r="E29" s="2">
        <v>15.1</v>
      </c>
      <c r="F29" s="2">
        <v>16.2</v>
      </c>
      <c r="G29" s="2">
        <v>24.8</v>
      </c>
      <c r="H29" s="2">
        <v>26.1</v>
      </c>
      <c r="I29" s="2">
        <v>26.9</v>
      </c>
      <c r="J29" s="2">
        <v>22.4</v>
      </c>
      <c r="K29" s="2">
        <v>18.7</v>
      </c>
      <c r="L29" s="2">
        <v>16.7</v>
      </c>
      <c r="M29" s="2">
        <v>12.5</v>
      </c>
      <c r="O29">
        <v>2019</v>
      </c>
      <c r="P29" s="2">
        <v>71.2</v>
      </c>
      <c r="Q29" s="2">
        <v>12.6</v>
      </c>
      <c r="R29" s="2">
        <v>52.2</v>
      </c>
      <c r="S29" s="2">
        <v>102.1</v>
      </c>
      <c r="T29" s="2">
        <v>130.1</v>
      </c>
      <c r="U29" s="2">
        <v>8.6999999999999993</v>
      </c>
      <c r="V29" s="2">
        <v>37.6</v>
      </c>
      <c r="W29" s="2">
        <v>0.8</v>
      </c>
      <c r="X29" s="2">
        <v>56.6</v>
      </c>
      <c r="Y29" s="2">
        <v>17.899999999999999</v>
      </c>
      <c r="Z29" s="2">
        <v>137.4</v>
      </c>
      <c r="AA29" s="2">
        <v>86.4</v>
      </c>
    </row>
    <row r="30" spans="1:27" x14ac:dyDescent="0.25">
      <c r="A30">
        <v>2020</v>
      </c>
      <c r="B30" s="2">
        <v>10.8</v>
      </c>
      <c r="C30" s="2">
        <v>11.6</v>
      </c>
      <c r="D30" s="2">
        <v>12</v>
      </c>
      <c r="E30" s="2">
        <v>14.9</v>
      </c>
      <c r="F30" s="2">
        <v>19.100000000000001</v>
      </c>
      <c r="G30" s="2">
        <v>22</v>
      </c>
      <c r="H30" s="2">
        <v>25.4</v>
      </c>
      <c r="I30" s="2">
        <v>26.8</v>
      </c>
      <c r="J30" s="2">
        <v>23.3</v>
      </c>
      <c r="K30" s="2">
        <v>17.5</v>
      </c>
      <c r="L30" s="2">
        <v>14.6</v>
      </c>
      <c r="M30" s="2">
        <v>12.5</v>
      </c>
      <c r="O30">
        <v>2020</v>
      </c>
      <c r="P30" s="2">
        <v>8.8000000000000007</v>
      </c>
      <c r="Q30" s="2">
        <v>28</v>
      </c>
      <c r="R30" s="2">
        <v>34.6</v>
      </c>
      <c r="S30" s="2">
        <v>28.3</v>
      </c>
      <c r="T30" s="2">
        <v>20</v>
      </c>
      <c r="U30" s="2">
        <v>20.8</v>
      </c>
      <c r="V30" s="2">
        <v>7.9</v>
      </c>
      <c r="W30" s="2">
        <v>7.7</v>
      </c>
      <c r="X30" s="2">
        <v>74.2</v>
      </c>
      <c r="Y30" s="2">
        <v>96.4</v>
      </c>
      <c r="Z30" s="2">
        <v>63.4</v>
      </c>
      <c r="AA30" s="2">
        <v>193.1</v>
      </c>
    </row>
    <row r="31" spans="1:27" x14ac:dyDescent="0.25">
      <c r="A31">
        <v>2021</v>
      </c>
      <c r="B31" s="2">
        <v>9.6999999999999993</v>
      </c>
      <c r="C31" s="2">
        <v>10.8</v>
      </c>
      <c r="D31" s="2">
        <v>10.8</v>
      </c>
      <c r="E31" s="2">
        <v>12.9</v>
      </c>
      <c r="F31" s="2">
        <v>18.899999999999999</v>
      </c>
      <c r="G31" s="2">
        <v>24.8</v>
      </c>
      <c r="H31" s="2">
        <v>27.4</v>
      </c>
      <c r="I31" s="2">
        <v>26.6</v>
      </c>
      <c r="J31" s="2">
        <v>22.5</v>
      </c>
      <c r="K31" s="2">
        <v>17</v>
      </c>
      <c r="L31" s="2">
        <v>15.7</v>
      </c>
      <c r="M31" s="2">
        <v>11.3</v>
      </c>
      <c r="O31">
        <v>2021</v>
      </c>
      <c r="P31" s="2">
        <v>54.1</v>
      </c>
      <c r="Q31" s="2">
        <v>37.6</v>
      </c>
      <c r="R31" s="2">
        <v>15.9</v>
      </c>
      <c r="S31" s="2">
        <v>31.2</v>
      </c>
      <c r="T31" s="2">
        <v>5.3</v>
      </c>
      <c r="U31" s="2">
        <v>0.6</v>
      </c>
      <c r="V31" s="2">
        <v>0.5</v>
      </c>
      <c r="W31" s="2">
        <v>46.4</v>
      </c>
      <c r="X31" s="2">
        <v>14.6</v>
      </c>
      <c r="Y31" s="2">
        <v>124.5</v>
      </c>
      <c r="Z31" s="2">
        <v>227.3</v>
      </c>
      <c r="AA31" s="2">
        <v>80</v>
      </c>
    </row>
    <row r="32" spans="1:27" x14ac:dyDescent="0.25">
      <c r="A32">
        <v>2022</v>
      </c>
      <c r="B32" s="2">
        <v>9.8000000000000007</v>
      </c>
      <c r="C32" s="2">
        <v>10.9</v>
      </c>
      <c r="D32" s="2">
        <v>10.3</v>
      </c>
      <c r="E32" s="2">
        <v>13.9</v>
      </c>
      <c r="F32" s="2">
        <v>20.2</v>
      </c>
      <c r="G32" s="2">
        <v>25.9</v>
      </c>
      <c r="H32" s="2">
        <v>27.1</v>
      </c>
      <c r="I32" s="2">
        <v>26.5</v>
      </c>
      <c r="J32" s="2">
        <v>22</v>
      </c>
      <c r="K32" s="2">
        <v>19.2</v>
      </c>
      <c r="L32" s="2">
        <v>15.1</v>
      </c>
      <c r="M32" s="2">
        <v>13.5</v>
      </c>
      <c r="O32">
        <v>2022</v>
      </c>
      <c r="P32" s="2">
        <v>10.9</v>
      </c>
      <c r="Q32" s="2">
        <v>13.5</v>
      </c>
      <c r="R32" s="2">
        <v>8.1999999999999993</v>
      </c>
      <c r="S32" s="2">
        <v>23</v>
      </c>
      <c r="T32" s="2">
        <v>10.8</v>
      </c>
      <c r="U32" s="2">
        <v>42.5</v>
      </c>
      <c r="V32" s="2">
        <v>7.3</v>
      </c>
      <c r="W32" s="2">
        <v>51.3</v>
      </c>
      <c r="X32" s="2">
        <v>17.5</v>
      </c>
      <c r="Y32" s="2">
        <v>0.2</v>
      </c>
      <c r="Z32" s="2">
        <v>128.9</v>
      </c>
      <c r="AA32" s="2">
        <v>95.9</v>
      </c>
    </row>
    <row r="33" spans="1:27" x14ac:dyDescent="0.25">
      <c r="A33">
        <v>2023</v>
      </c>
      <c r="B33" s="2">
        <v>11.4</v>
      </c>
      <c r="C33" s="2">
        <v>10.1</v>
      </c>
      <c r="D33" s="2">
        <v>13</v>
      </c>
      <c r="E33" s="2">
        <v>13.9</v>
      </c>
      <c r="F33" s="2">
        <v>19.100000000000001</v>
      </c>
      <c r="G33" s="2">
        <v>23.7</v>
      </c>
      <c r="H33" s="2">
        <v>27.7</v>
      </c>
      <c r="I33" s="2">
        <v>26.4</v>
      </c>
      <c r="J33" s="2">
        <v>24.4</v>
      </c>
      <c r="K33" s="2">
        <v>21</v>
      </c>
      <c r="L33" s="2">
        <v>15.4</v>
      </c>
      <c r="M33" s="2">
        <v>12.7</v>
      </c>
      <c r="O33">
        <v>2023</v>
      </c>
      <c r="P33" s="2">
        <v>157.19999999999999</v>
      </c>
      <c r="Q33" s="2">
        <v>12.3</v>
      </c>
      <c r="R33" s="2">
        <v>60.9</v>
      </c>
      <c r="S33" s="2">
        <v>22.7</v>
      </c>
      <c r="T33" s="2">
        <v>59.3</v>
      </c>
      <c r="U33" s="2">
        <v>22.7</v>
      </c>
      <c r="V33" s="2">
        <v>13</v>
      </c>
      <c r="W33" s="2">
        <v>63.4</v>
      </c>
      <c r="X33" s="2">
        <v>40.700000000000003</v>
      </c>
      <c r="Y33" s="2">
        <v>16.3</v>
      </c>
      <c r="Z33" s="2">
        <v>106.9</v>
      </c>
      <c r="AA33" s="2">
        <v>31.6</v>
      </c>
    </row>
    <row r="34" spans="1:27" x14ac:dyDescent="0.25">
      <c r="A34">
        <v>2024</v>
      </c>
      <c r="B34">
        <v>11.1</v>
      </c>
      <c r="C34">
        <v>13.3</v>
      </c>
      <c r="D34">
        <v>13.7</v>
      </c>
      <c r="E34">
        <v>16.399999999999999</v>
      </c>
      <c r="F34">
        <v>20</v>
      </c>
      <c r="G34">
        <v>25.1</v>
      </c>
      <c r="H34">
        <v>28.5</v>
      </c>
      <c r="I34">
        <v>28.4</v>
      </c>
      <c r="J34">
        <v>22.4</v>
      </c>
      <c r="K34">
        <v>19.7</v>
      </c>
      <c r="L34">
        <v>14.4</v>
      </c>
      <c r="M34">
        <v>11.2</v>
      </c>
      <c r="O34">
        <v>2024</v>
      </c>
      <c r="P34">
        <v>62.1</v>
      </c>
      <c r="Q34">
        <v>26.4</v>
      </c>
      <c r="R34">
        <v>128.80000000000001</v>
      </c>
      <c r="S34">
        <v>39.4</v>
      </c>
      <c r="T34">
        <v>18.100000000000001</v>
      </c>
      <c r="U34">
        <v>18.2</v>
      </c>
      <c r="V34">
        <v>2.8</v>
      </c>
      <c r="W34">
        <v>67.400000000000006</v>
      </c>
      <c r="X34">
        <v>146.1</v>
      </c>
      <c r="Y34">
        <v>28.5</v>
      </c>
      <c r="Z34">
        <v>40.5</v>
      </c>
      <c r="AA34">
        <v>176.5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2A0D-96D4-4F51-87DC-4A9B38C41A28}">
  <dimension ref="A1:AA40"/>
  <sheetViews>
    <sheetView topLeftCell="A17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9.4266666666666676</v>
      </c>
      <c r="C2" s="4">
        <f t="shared" ref="C2:L2" si="0">AVERAGE(C5:C46)</f>
        <v>9.9499999999999993</v>
      </c>
      <c r="D2" s="4">
        <f t="shared" si="0"/>
        <v>11.979999999999997</v>
      </c>
      <c r="E2" s="4">
        <f t="shared" si="0"/>
        <v>15.286666666666667</v>
      </c>
      <c r="F2" s="4">
        <f t="shared" si="0"/>
        <v>19.773333333333333</v>
      </c>
      <c r="G2" s="4">
        <f t="shared" si="0"/>
        <v>24.18333333333333</v>
      </c>
      <c r="H2" s="4">
        <f t="shared" si="0"/>
        <v>26.86666666666666</v>
      </c>
      <c r="I2" s="4">
        <f t="shared" si="0"/>
        <v>26.590000000000007</v>
      </c>
      <c r="J2" s="4">
        <f t="shared" si="0"/>
        <v>22.333333333333332</v>
      </c>
      <c r="K2" s="4">
        <f t="shared" si="0"/>
        <v>18.220000000000002</v>
      </c>
      <c r="L2" s="4">
        <f t="shared" si="0"/>
        <v>14.293333333333333</v>
      </c>
      <c r="M2" s="4">
        <f>AVERAGE(M5:M46)</f>
        <v>10.863333333333335</v>
      </c>
      <c r="O2" s="30"/>
      <c r="P2" s="4">
        <f>AVERAGE(P5:P46)</f>
        <v>110.71999999999998</v>
      </c>
      <c r="Q2" s="4">
        <f t="shared" ref="Q2:Z2" si="1">AVERAGE(Q5:Q46)</f>
        <v>88.49666666666667</v>
      </c>
      <c r="R2" s="4">
        <f t="shared" si="1"/>
        <v>79.506666666666675</v>
      </c>
      <c r="S2" s="4">
        <f t="shared" si="1"/>
        <v>71.88000000000001</v>
      </c>
      <c r="T2" s="4">
        <f t="shared" si="1"/>
        <v>67.960000000000008</v>
      </c>
      <c r="U2" s="4">
        <f t="shared" si="1"/>
        <v>45.836666666666673</v>
      </c>
      <c r="V2" s="4">
        <f t="shared" si="1"/>
        <v>31.506666666666664</v>
      </c>
      <c r="W2" s="4">
        <f t="shared" si="1"/>
        <v>48.847000000000001</v>
      </c>
      <c r="X2" s="4">
        <f t="shared" si="1"/>
        <v>89.659999999999982</v>
      </c>
      <c r="Y2" s="4">
        <f t="shared" si="1"/>
        <v>81.536666666666676</v>
      </c>
      <c r="Z2" s="4">
        <f t="shared" si="1"/>
        <v>153.12333333333336</v>
      </c>
      <c r="AA2" s="4">
        <f>AVERAGE(AA5:AA46)</f>
        <v>147.49333333333328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8.5</v>
      </c>
      <c r="C5" s="2">
        <v>11.3</v>
      </c>
      <c r="D5" s="2">
        <v>10.5</v>
      </c>
      <c r="E5" s="2">
        <v>13.4</v>
      </c>
      <c r="F5" s="2">
        <v>18.100000000000001</v>
      </c>
      <c r="G5" s="2">
        <v>22.1</v>
      </c>
      <c r="H5" s="2">
        <v>26.7</v>
      </c>
      <c r="I5" s="2">
        <v>24.4</v>
      </c>
      <c r="J5" s="2">
        <v>20.2</v>
      </c>
      <c r="K5" s="2">
        <v>18.2</v>
      </c>
      <c r="L5" s="2">
        <v>11.4</v>
      </c>
      <c r="M5" s="2">
        <v>11.5</v>
      </c>
      <c r="O5">
        <v>1995</v>
      </c>
      <c r="P5" s="2">
        <v>73.8</v>
      </c>
      <c r="Q5" s="2">
        <v>55.6</v>
      </c>
      <c r="R5" s="2">
        <v>119.6</v>
      </c>
      <c r="S5" s="2">
        <v>70.900000000000006</v>
      </c>
      <c r="T5" s="2">
        <v>86.1</v>
      </c>
      <c r="U5" s="2">
        <v>62.1</v>
      </c>
      <c r="V5" s="2">
        <v>38.9</v>
      </c>
      <c r="W5" s="2">
        <v>79.8</v>
      </c>
      <c r="X5" s="2">
        <v>240</v>
      </c>
      <c r="Y5" s="2">
        <v>11.9</v>
      </c>
      <c r="Z5" s="2">
        <v>107.7</v>
      </c>
      <c r="AA5" s="2">
        <v>258.3</v>
      </c>
    </row>
    <row r="6" spans="1:27" x14ac:dyDescent="0.25">
      <c r="A6">
        <v>1996</v>
      </c>
      <c r="B6" s="2">
        <v>10.199999999999999</v>
      </c>
      <c r="C6" s="2">
        <v>7.8</v>
      </c>
      <c r="D6" s="2">
        <v>9.8000000000000007</v>
      </c>
      <c r="E6" s="2">
        <v>14.7</v>
      </c>
      <c r="F6" s="2">
        <v>19.2</v>
      </c>
      <c r="G6" s="2">
        <v>23.7</v>
      </c>
      <c r="H6" s="2">
        <v>25.3</v>
      </c>
      <c r="I6" s="2">
        <v>25</v>
      </c>
      <c r="J6" s="2">
        <v>18.899999999999999</v>
      </c>
      <c r="K6" s="2">
        <v>17.100000000000001</v>
      </c>
      <c r="L6" s="2">
        <v>14.3</v>
      </c>
      <c r="M6" s="2">
        <v>10.1</v>
      </c>
      <c r="O6">
        <v>1996</v>
      </c>
      <c r="P6" s="2">
        <v>269</v>
      </c>
      <c r="Q6" s="2">
        <v>105.3</v>
      </c>
      <c r="R6" s="2">
        <v>54.8</v>
      </c>
      <c r="S6" s="2">
        <v>80.8</v>
      </c>
      <c r="T6" s="2">
        <v>104.1</v>
      </c>
      <c r="U6" s="2">
        <v>24.2</v>
      </c>
      <c r="V6" s="2">
        <v>2.4</v>
      </c>
      <c r="W6" s="2">
        <v>69.599999999999994</v>
      </c>
      <c r="X6" s="2">
        <v>183.9</v>
      </c>
      <c r="Y6" s="2">
        <v>54.6</v>
      </c>
      <c r="Z6" s="2">
        <v>177</v>
      </c>
      <c r="AA6" s="2">
        <v>147.4</v>
      </c>
    </row>
    <row r="7" spans="1:27" x14ac:dyDescent="0.25">
      <c r="A7">
        <v>1997</v>
      </c>
      <c r="B7" s="2">
        <v>10.4</v>
      </c>
      <c r="C7" s="2">
        <v>10</v>
      </c>
      <c r="D7" s="2">
        <v>12.1</v>
      </c>
      <c r="E7" s="2">
        <v>11.7</v>
      </c>
      <c r="F7" s="2">
        <v>19.5</v>
      </c>
      <c r="G7" s="2">
        <v>23.9</v>
      </c>
      <c r="H7" s="2">
        <v>25.3</v>
      </c>
      <c r="I7" s="2">
        <v>25.1</v>
      </c>
      <c r="J7" s="2">
        <v>22.8</v>
      </c>
      <c r="K7" s="2">
        <v>16.5</v>
      </c>
      <c r="L7" s="2">
        <v>14.3</v>
      </c>
      <c r="M7" s="2">
        <v>10.7</v>
      </c>
      <c r="O7">
        <v>1997</v>
      </c>
      <c r="P7" s="2">
        <v>47.8</v>
      </c>
      <c r="Q7" s="2">
        <v>58.7</v>
      </c>
      <c r="R7" s="2">
        <v>14.3</v>
      </c>
      <c r="S7" s="2">
        <v>106</v>
      </c>
      <c r="T7" s="2">
        <v>33.4</v>
      </c>
      <c r="U7" s="2">
        <v>19.600000000000001</v>
      </c>
      <c r="V7" s="2">
        <v>26.7</v>
      </c>
      <c r="W7" s="2">
        <v>27.8</v>
      </c>
      <c r="X7" s="2">
        <v>43.5</v>
      </c>
      <c r="Y7" s="2">
        <v>57.1</v>
      </c>
      <c r="Z7" s="2">
        <v>196.5</v>
      </c>
      <c r="AA7" s="2">
        <v>172.5</v>
      </c>
    </row>
    <row r="8" spans="1:27" x14ac:dyDescent="0.25">
      <c r="A8">
        <v>1998</v>
      </c>
      <c r="B8" s="2">
        <v>10.3</v>
      </c>
      <c r="C8" s="2">
        <v>11.6</v>
      </c>
      <c r="D8" s="2">
        <v>10.199999999999999</v>
      </c>
      <c r="E8" s="2">
        <v>15.2</v>
      </c>
      <c r="F8" s="2">
        <v>19.100000000000001</v>
      </c>
      <c r="G8" s="2">
        <v>24.4</v>
      </c>
      <c r="H8" s="2">
        <v>27.1</v>
      </c>
      <c r="I8" s="2">
        <v>27.2</v>
      </c>
      <c r="J8" s="2">
        <v>21.6</v>
      </c>
      <c r="K8" s="2">
        <v>18.3</v>
      </c>
      <c r="L8" s="2">
        <v>12</v>
      </c>
      <c r="M8" s="2">
        <v>8.5</v>
      </c>
      <c r="O8">
        <v>1998</v>
      </c>
      <c r="P8" s="2">
        <v>103.2</v>
      </c>
      <c r="Q8" s="2">
        <v>21.5</v>
      </c>
      <c r="R8" s="2">
        <v>18.8</v>
      </c>
      <c r="S8" s="2">
        <v>78.8</v>
      </c>
      <c r="T8" s="2">
        <v>97.2</v>
      </c>
      <c r="U8" s="2">
        <v>20.100000000000001</v>
      </c>
      <c r="V8" s="2">
        <v>24.5</v>
      </c>
      <c r="W8" s="2">
        <v>83.3</v>
      </c>
      <c r="X8" s="2">
        <v>141.9</v>
      </c>
      <c r="Y8" s="2">
        <v>72.400000000000006</v>
      </c>
      <c r="Z8" s="2">
        <v>114.4</v>
      </c>
      <c r="AA8" s="2">
        <v>116.8</v>
      </c>
    </row>
    <row r="9" spans="1:27" x14ac:dyDescent="0.25">
      <c r="A9">
        <v>1999</v>
      </c>
      <c r="B9" s="19">
        <v>9.1</v>
      </c>
      <c r="C9" s="19">
        <v>7.8</v>
      </c>
      <c r="D9" s="19">
        <v>11.9</v>
      </c>
      <c r="E9" s="19">
        <v>15.1</v>
      </c>
      <c r="F9" s="19">
        <v>20.399999999999999</v>
      </c>
      <c r="G9" s="19">
        <v>24.3</v>
      </c>
      <c r="H9" s="19">
        <v>25.7</v>
      </c>
      <c r="I9" s="19">
        <v>26.6</v>
      </c>
      <c r="J9" s="19">
        <v>23.5</v>
      </c>
      <c r="K9" s="19">
        <v>19</v>
      </c>
      <c r="L9" s="19">
        <v>13.2</v>
      </c>
      <c r="M9" s="19">
        <v>10.5</v>
      </c>
      <c r="O9">
        <v>1999</v>
      </c>
      <c r="P9" s="16">
        <v>80.599999999999994</v>
      </c>
      <c r="Q9" s="16">
        <v>100.4</v>
      </c>
      <c r="R9" s="16">
        <v>68.8</v>
      </c>
      <c r="S9" s="16">
        <v>108.7</v>
      </c>
      <c r="T9" s="16">
        <v>50.7</v>
      </c>
      <c r="U9" s="16">
        <v>49.5</v>
      </c>
      <c r="V9" s="16">
        <v>112.7</v>
      </c>
      <c r="W9" s="16">
        <v>33</v>
      </c>
      <c r="X9" s="16">
        <v>36.299999999999997</v>
      </c>
      <c r="Y9" s="16">
        <v>99</v>
      </c>
      <c r="Z9" s="16">
        <v>186.3</v>
      </c>
      <c r="AA9" s="16">
        <v>162.30000000000001</v>
      </c>
    </row>
    <row r="10" spans="1:27" x14ac:dyDescent="0.25">
      <c r="A10">
        <v>2000</v>
      </c>
      <c r="B10" s="19">
        <v>7.3</v>
      </c>
      <c r="C10" s="19">
        <v>9.3000000000000007</v>
      </c>
      <c r="D10" s="19">
        <v>11.2</v>
      </c>
      <c r="E10" s="19">
        <v>16.600000000000001</v>
      </c>
      <c r="F10" s="19">
        <v>21.7</v>
      </c>
      <c r="G10" s="19">
        <v>25.1</v>
      </c>
      <c r="H10" s="19">
        <v>26</v>
      </c>
      <c r="I10" s="19">
        <v>27</v>
      </c>
      <c r="J10" s="19">
        <v>22.2</v>
      </c>
      <c r="K10" s="19">
        <v>19.2</v>
      </c>
      <c r="L10" s="19">
        <v>16.2</v>
      </c>
      <c r="M10" s="19">
        <v>12</v>
      </c>
      <c r="O10">
        <v>2000</v>
      </c>
      <c r="P10" s="16">
        <v>43.7</v>
      </c>
      <c r="Q10" s="16">
        <v>32.9</v>
      </c>
      <c r="R10" s="16">
        <v>43.1</v>
      </c>
      <c r="S10" s="16">
        <v>71.5</v>
      </c>
      <c r="T10" s="16">
        <v>50</v>
      </c>
      <c r="U10" s="16">
        <v>14.7</v>
      </c>
      <c r="V10" s="16">
        <v>81</v>
      </c>
      <c r="W10" s="16">
        <v>0</v>
      </c>
      <c r="X10" s="16">
        <v>65</v>
      </c>
      <c r="Y10" s="16">
        <v>140.1</v>
      </c>
      <c r="Z10" s="16">
        <v>280.7</v>
      </c>
      <c r="AA10" s="16">
        <v>170.9</v>
      </c>
    </row>
    <row r="11" spans="1:27" x14ac:dyDescent="0.25">
      <c r="A11">
        <v>2001</v>
      </c>
      <c r="B11" s="19">
        <v>11.3</v>
      </c>
      <c r="C11" s="19">
        <v>10.7</v>
      </c>
      <c r="D11" s="19">
        <v>14.8</v>
      </c>
      <c r="E11" s="19">
        <v>14.3</v>
      </c>
      <c r="F11" s="19">
        <v>20.3</v>
      </c>
      <c r="G11" s="19">
        <v>22.7</v>
      </c>
      <c r="H11" s="19">
        <v>26.9</v>
      </c>
      <c r="I11" s="19">
        <v>27.4</v>
      </c>
      <c r="J11" s="19">
        <v>20.2</v>
      </c>
      <c r="K11" s="19">
        <v>19.3</v>
      </c>
      <c r="L11" s="19">
        <v>13.1</v>
      </c>
      <c r="M11" s="19">
        <v>7.7</v>
      </c>
      <c r="O11">
        <v>2001</v>
      </c>
      <c r="P11" s="16">
        <v>157</v>
      </c>
      <c r="Q11" s="16">
        <v>31.6</v>
      </c>
      <c r="R11" s="16">
        <v>105.5</v>
      </c>
      <c r="S11" s="16">
        <v>84.3</v>
      </c>
      <c r="T11" s="16">
        <v>43.1</v>
      </c>
      <c r="U11" s="16">
        <v>34.5</v>
      </c>
      <c r="V11" s="16">
        <v>29.6</v>
      </c>
      <c r="W11" s="16">
        <v>1.1000000000000001</v>
      </c>
      <c r="X11" s="16">
        <v>148.1</v>
      </c>
      <c r="Y11" s="16">
        <v>6</v>
      </c>
      <c r="Z11" s="16">
        <v>183.2</v>
      </c>
      <c r="AA11" s="16">
        <v>23.5</v>
      </c>
    </row>
    <row r="12" spans="1:27" x14ac:dyDescent="0.25">
      <c r="A12">
        <v>2002</v>
      </c>
      <c r="B12" s="20">
        <v>8</v>
      </c>
      <c r="C12" s="20">
        <v>11.7</v>
      </c>
      <c r="D12" s="20">
        <v>13.9</v>
      </c>
      <c r="E12" s="20">
        <v>15.7</v>
      </c>
      <c r="F12" s="20">
        <v>20.399999999999999</v>
      </c>
      <c r="G12" s="20">
        <v>25</v>
      </c>
      <c r="H12" s="20">
        <v>26.7</v>
      </c>
      <c r="I12" s="20">
        <v>24.6</v>
      </c>
      <c r="J12" s="20">
        <v>20.9</v>
      </c>
      <c r="K12" s="20">
        <v>17.899999999999999</v>
      </c>
      <c r="L12" s="20">
        <v>16</v>
      </c>
      <c r="M12" s="20">
        <v>11.5</v>
      </c>
      <c r="O12">
        <v>2002</v>
      </c>
      <c r="P12" s="17">
        <v>90</v>
      </c>
      <c r="Q12" s="17">
        <v>79</v>
      </c>
      <c r="R12" s="17">
        <v>9</v>
      </c>
      <c r="S12" s="17">
        <v>44</v>
      </c>
      <c r="T12" s="17">
        <v>192</v>
      </c>
      <c r="U12" s="17">
        <v>9</v>
      </c>
      <c r="V12" s="17">
        <v>67</v>
      </c>
      <c r="W12" s="17">
        <v>268</v>
      </c>
      <c r="X12" s="17">
        <v>137</v>
      </c>
      <c r="Y12" s="17">
        <v>71</v>
      </c>
      <c r="Z12" s="17">
        <v>48</v>
      </c>
      <c r="AA12" s="17">
        <v>83</v>
      </c>
    </row>
    <row r="13" spans="1:27" x14ac:dyDescent="0.25">
      <c r="A13">
        <v>2003</v>
      </c>
      <c r="B13" s="20">
        <v>10</v>
      </c>
      <c r="C13" s="20">
        <v>6.6</v>
      </c>
      <c r="D13" s="20">
        <v>11.6</v>
      </c>
      <c r="E13" s="20">
        <v>14.6</v>
      </c>
      <c r="F13" s="20">
        <v>22.2</v>
      </c>
      <c r="G13" s="20">
        <v>27.4</v>
      </c>
      <c r="H13" s="20">
        <v>28.1</v>
      </c>
      <c r="I13" s="20">
        <v>28.8</v>
      </c>
      <c r="J13" s="20">
        <v>21.8</v>
      </c>
      <c r="K13" s="20">
        <v>15.1</v>
      </c>
      <c r="L13" s="20">
        <v>15.1</v>
      </c>
      <c r="M13" s="20">
        <v>11</v>
      </c>
      <c r="O13">
        <v>2003</v>
      </c>
      <c r="P13" s="17">
        <v>162.5</v>
      </c>
      <c r="Q13" s="17">
        <v>31.9</v>
      </c>
      <c r="R13" s="17">
        <v>0</v>
      </c>
      <c r="S13" s="17">
        <v>25.7</v>
      </c>
      <c r="T13" s="17">
        <v>5.9</v>
      </c>
      <c r="U13" s="17">
        <v>39.799999999999997</v>
      </c>
      <c r="V13" s="17">
        <v>7.8</v>
      </c>
      <c r="W13" s="17">
        <v>11.21</v>
      </c>
      <c r="X13" s="17">
        <v>242.8</v>
      </c>
      <c r="Y13" s="17">
        <v>111.2</v>
      </c>
      <c r="Z13" s="17">
        <v>115.6</v>
      </c>
      <c r="AA13" s="17">
        <v>98.1</v>
      </c>
    </row>
    <row r="14" spans="1:27" x14ac:dyDescent="0.25">
      <c r="A14">
        <v>2004</v>
      </c>
      <c r="B14" s="19">
        <v>8.1</v>
      </c>
      <c r="C14" s="19">
        <v>9.6</v>
      </c>
      <c r="D14" s="19">
        <v>11.1</v>
      </c>
      <c r="E14" s="19">
        <v>15.4</v>
      </c>
      <c r="F14" s="19">
        <v>17.7</v>
      </c>
      <c r="G14" s="19">
        <v>22.8</v>
      </c>
      <c r="H14" s="19">
        <v>26.8</v>
      </c>
      <c r="I14" s="19">
        <v>25.7</v>
      </c>
      <c r="J14" s="19">
        <v>22.8</v>
      </c>
      <c r="K14" s="19">
        <v>19.899999999999999</v>
      </c>
      <c r="L14" s="19">
        <v>13.8</v>
      </c>
      <c r="M14" s="19">
        <v>12.1</v>
      </c>
      <c r="O14">
        <v>2004</v>
      </c>
      <c r="P14" s="16">
        <v>96.1</v>
      </c>
      <c r="Q14" s="16">
        <v>109.6</v>
      </c>
      <c r="R14" s="16">
        <v>163.9</v>
      </c>
      <c r="S14" s="16">
        <v>105.1</v>
      </c>
      <c r="T14" s="16">
        <v>118.2</v>
      </c>
      <c r="U14" s="16">
        <v>59.1</v>
      </c>
      <c r="V14" s="16">
        <v>5.5</v>
      </c>
      <c r="W14" s="16">
        <v>54.4</v>
      </c>
      <c r="X14" s="16">
        <v>19.100000000000001</v>
      </c>
      <c r="Y14" s="16">
        <v>73.7</v>
      </c>
      <c r="Z14" s="16">
        <v>171.7</v>
      </c>
      <c r="AA14" s="16">
        <v>248.1</v>
      </c>
    </row>
    <row r="15" spans="1:27" x14ac:dyDescent="0.25">
      <c r="A15">
        <v>2005</v>
      </c>
      <c r="B15" s="19">
        <v>8.3000000000000007</v>
      </c>
      <c r="C15" s="19">
        <v>6.9</v>
      </c>
      <c r="D15" s="19">
        <v>10.6</v>
      </c>
      <c r="E15" s="19">
        <v>15</v>
      </c>
      <c r="F15" s="19">
        <v>20.7</v>
      </c>
      <c r="G15" s="19">
        <v>23.6</v>
      </c>
      <c r="H15" s="19">
        <v>26.4</v>
      </c>
      <c r="I15" s="19">
        <v>24.1</v>
      </c>
      <c r="J15" s="19">
        <v>22.7</v>
      </c>
      <c r="K15" s="19">
        <v>17.7</v>
      </c>
      <c r="L15" s="19">
        <v>13.1</v>
      </c>
      <c r="M15" s="19">
        <v>9.8000000000000007</v>
      </c>
      <c r="O15">
        <v>2005</v>
      </c>
      <c r="P15" s="16">
        <v>8.6999999999999993</v>
      </c>
      <c r="Q15" s="16">
        <v>97.2</v>
      </c>
      <c r="R15" s="16">
        <v>93</v>
      </c>
      <c r="S15" s="16">
        <v>67.400000000000006</v>
      </c>
      <c r="T15" s="16">
        <v>37.200000000000003</v>
      </c>
      <c r="U15" s="16">
        <v>33.4</v>
      </c>
      <c r="V15" s="16">
        <v>44.7</v>
      </c>
      <c r="W15" s="16">
        <v>92.2</v>
      </c>
      <c r="X15" s="16">
        <v>81.3</v>
      </c>
      <c r="Y15" s="16">
        <v>73.3</v>
      </c>
      <c r="Z15" s="16">
        <v>197.4</v>
      </c>
      <c r="AA15" s="16">
        <v>266.39999999999998</v>
      </c>
    </row>
    <row r="16" spans="1:27" x14ac:dyDescent="0.25">
      <c r="A16">
        <v>2006</v>
      </c>
      <c r="B16" s="19">
        <v>8.1</v>
      </c>
      <c r="C16" s="19">
        <v>8.9</v>
      </c>
      <c r="D16" s="19">
        <v>10.5</v>
      </c>
      <c r="E16" s="19">
        <v>15.8</v>
      </c>
      <c r="F16" s="19">
        <v>19.600000000000001</v>
      </c>
      <c r="G16" s="19">
        <v>23.2</v>
      </c>
      <c r="H16" s="19">
        <v>27.3</v>
      </c>
      <c r="I16" s="19">
        <v>25</v>
      </c>
      <c r="J16" s="19">
        <v>22.9</v>
      </c>
      <c r="K16" s="19">
        <v>19.2</v>
      </c>
      <c r="L16" s="19">
        <v>13.2</v>
      </c>
      <c r="M16" s="19">
        <v>11.4</v>
      </c>
      <c r="O16">
        <v>2006</v>
      </c>
      <c r="P16" s="16">
        <v>110.6</v>
      </c>
      <c r="Q16" s="16">
        <v>59</v>
      </c>
      <c r="R16" s="16">
        <v>74.2</v>
      </c>
      <c r="S16" s="16">
        <v>35.1</v>
      </c>
      <c r="T16" s="16">
        <v>72.3</v>
      </c>
      <c r="U16" s="16">
        <v>43.2</v>
      </c>
      <c r="V16" s="16">
        <v>33.1</v>
      </c>
      <c r="W16" s="16">
        <v>100.9</v>
      </c>
      <c r="X16" s="16">
        <v>136.30000000000001</v>
      </c>
      <c r="Y16" s="16">
        <v>49.4</v>
      </c>
      <c r="Z16" s="16">
        <v>75.900000000000006</v>
      </c>
      <c r="AA16" s="16">
        <v>34.1</v>
      </c>
    </row>
    <row r="17" spans="1:27" x14ac:dyDescent="0.25">
      <c r="A17">
        <v>2007</v>
      </c>
      <c r="B17" s="19">
        <v>11.2</v>
      </c>
      <c r="C17" s="19">
        <v>11.9</v>
      </c>
      <c r="D17" s="19">
        <v>13.1</v>
      </c>
      <c r="E17" s="19">
        <v>17.3</v>
      </c>
      <c r="F17" s="19">
        <v>21.1</v>
      </c>
      <c r="G17" s="19">
        <v>25.3</v>
      </c>
      <c r="H17" s="19">
        <v>28.3</v>
      </c>
      <c r="I17" s="19">
        <v>26.5</v>
      </c>
      <c r="J17" s="19">
        <v>20.5</v>
      </c>
      <c r="K17" s="19">
        <v>17.100000000000001</v>
      </c>
      <c r="L17" s="19">
        <v>12.2</v>
      </c>
      <c r="M17" s="19">
        <v>9</v>
      </c>
      <c r="O17">
        <v>2007</v>
      </c>
      <c r="P17" s="16">
        <v>58.1</v>
      </c>
      <c r="Q17" s="16">
        <v>190.8</v>
      </c>
      <c r="R17" s="16">
        <v>134.5</v>
      </c>
      <c r="S17" s="16">
        <v>13.6</v>
      </c>
      <c r="T17" s="16">
        <v>94</v>
      </c>
      <c r="U17" s="16">
        <v>20.399999999999999</v>
      </c>
      <c r="V17" s="16">
        <v>11.6</v>
      </c>
      <c r="W17" s="16">
        <v>31.2</v>
      </c>
      <c r="X17" s="16">
        <v>45.7</v>
      </c>
      <c r="Y17" s="16">
        <v>98</v>
      </c>
      <c r="Z17" s="16">
        <v>113.8</v>
      </c>
      <c r="AA17" s="16">
        <v>91.5</v>
      </c>
    </row>
    <row r="18" spans="1:27" x14ac:dyDescent="0.25">
      <c r="A18">
        <v>2008</v>
      </c>
      <c r="B18" s="19">
        <v>10.199999999999999</v>
      </c>
      <c r="C18" s="19">
        <v>10</v>
      </c>
      <c r="D18" s="19">
        <v>12.5</v>
      </c>
      <c r="E18" s="19">
        <v>15.7</v>
      </c>
      <c r="F18" s="19">
        <v>20.6</v>
      </c>
      <c r="G18" s="19">
        <v>23.8</v>
      </c>
      <c r="H18" s="19">
        <v>26.9</v>
      </c>
      <c r="I18" s="19">
        <v>27.1</v>
      </c>
      <c r="J18" s="19">
        <v>21.4</v>
      </c>
      <c r="K18" s="19">
        <v>18.3</v>
      </c>
      <c r="L18" s="19">
        <v>14.7</v>
      </c>
      <c r="M18" s="19">
        <v>11.3</v>
      </c>
      <c r="O18">
        <v>2008</v>
      </c>
      <c r="P18" s="16">
        <v>121.8</v>
      </c>
      <c r="Q18" s="16">
        <v>34.1</v>
      </c>
      <c r="R18" s="16">
        <v>128.69999999999999</v>
      </c>
      <c r="S18" s="16">
        <v>117.2</v>
      </c>
      <c r="T18" s="16">
        <v>27.5</v>
      </c>
      <c r="U18" s="16">
        <v>98.8</v>
      </c>
      <c r="V18" s="16">
        <v>18.3</v>
      </c>
      <c r="W18" s="16">
        <v>0</v>
      </c>
      <c r="X18" s="16">
        <v>49.4</v>
      </c>
      <c r="Y18" s="16">
        <v>33.9</v>
      </c>
      <c r="Z18" s="16">
        <v>180.6</v>
      </c>
      <c r="AA18" s="16">
        <v>176.3</v>
      </c>
    </row>
    <row r="19" spans="1:27" x14ac:dyDescent="0.25">
      <c r="A19">
        <v>2009</v>
      </c>
      <c r="B19" s="19">
        <v>10</v>
      </c>
      <c r="C19" s="19">
        <v>8.6</v>
      </c>
      <c r="D19" s="19">
        <v>12</v>
      </c>
      <c r="E19" s="19">
        <v>15.9</v>
      </c>
      <c r="F19" s="19">
        <v>21.6</v>
      </c>
      <c r="G19" s="19">
        <v>22.8</v>
      </c>
      <c r="H19" s="19">
        <v>27</v>
      </c>
      <c r="I19" s="19">
        <v>27.6</v>
      </c>
      <c r="J19" s="19">
        <v>23.6</v>
      </c>
      <c r="K19" s="19">
        <v>17.100000000000001</v>
      </c>
      <c r="L19" s="19">
        <v>13.9</v>
      </c>
      <c r="M19" s="19">
        <v>11.5</v>
      </c>
      <c r="O19">
        <v>2009</v>
      </c>
      <c r="P19" s="16">
        <v>229</v>
      </c>
      <c r="Q19" s="16">
        <v>88.6</v>
      </c>
      <c r="R19" s="16">
        <v>99.4</v>
      </c>
      <c r="S19" s="16">
        <v>71.5</v>
      </c>
      <c r="T19" s="16">
        <v>42</v>
      </c>
      <c r="U19" s="16">
        <v>108.7</v>
      </c>
      <c r="V19" s="16">
        <v>1.8</v>
      </c>
      <c r="W19" s="16">
        <v>15</v>
      </c>
      <c r="X19" s="16">
        <v>27.8</v>
      </c>
      <c r="Y19" s="16">
        <v>130.5</v>
      </c>
      <c r="Z19" s="16">
        <v>143.5</v>
      </c>
      <c r="AA19" s="16">
        <v>182.5</v>
      </c>
    </row>
    <row r="20" spans="1:27" x14ac:dyDescent="0.25">
      <c r="A20">
        <v>2010</v>
      </c>
      <c r="B20" s="19">
        <v>8.4</v>
      </c>
      <c r="C20" s="19">
        <v>10</v>
      </c>
      <c r="D20" s="19">
        <v>11.5</v>
      </c>
      <c r="E20" s="19">
        <v>15.5</v>
      </c>
      <c r="F20" s="19">
        <v>19</v>
      </c>
      <c r="G20" s="19">
        <v>23.4</v>
      </c>
      <c r="H20" s="19">
        <v>27.1</v>
      </c>
      <c r="I20" s="19">
        <v>26.3</v>
      </c>
      <c r="J20" s="19">
        <v>21.7</v>
      </c>
      <c r="K20" s="19">
        <v>17.100000000000001</v>
      </c>
      <c r="L20" s="19">
        <v>15</v>
      </c>
      <c r="M20" s="19">
        <v>9.9</v>
      </c>
      <c r="O20">
        <v>2010</v>
      </c>
      <c r="P20" s="16">
        <v>196.3</v>
      </c>
      <c r="Q20" s="16">
        <v>238.5</v>
      </c>
      <c r="R20" s="16">
        <v>107.5</v>
      </c>
      <c r="S20" s="16">
        <v>109.5</v>
      </c>
      <c r="T20" s="16">
        <v>85.4</v>
      </c>
      <c r="U20" s="16">
        <v>69</v>
      </c>
      <c r="V20" s="16">
        <v>6.9</v>
      </c>
      <c r="W20" s="16">
        <v>39.4</v>
      </c>
      <c r="X20" s="16">
        <v>74.3</v>
      </c>
      <c r="Y20" s="16">
        <v>97.3</v>
      </c>
      <c r="Z20" s="16">
        <v>215.4</v>
      </c>
      <c r="AA20" s="16">
        <v>169.9</v>
      </c>
    </row>
    <row r="21" spans="1:27" x14ac:dyDescent="0.25">
      <c r="A21">
        <v>2011</v>
      </c>
      <c r="B21" s="19">
        <v>9.6999999999999993</v>
      </c>
      <c r="C21" s="19">
        <v>10</v>
      </c>
      <c r="D21" s="19">
        <v>12.1</v>
      </c>
      <c r="E21" s="19">
        <v>16.7</v>
      </c>
      <c r="F21" s="19">
        <v>20</v>
      </c>
      <c r="G21" s="19">
        <v>25.2</v>
      </c>
      <c r="H21" s="19">
        <v>26</v>
      </c>
      <c r="I21" s="19">
        <v>27.3</v>
      </c>
      <c r="J21" s="19">
        <v>25.6</v>
      </c>
      <c r="K21" s="19">
        <v>18.3</v>
      </c>
      <c r="L21" s="19">
        <v>14.3</v>
      </c>
      <c r="M21" s="19">
        <v>12</v>
      </c>
      <c r="O21">
        <v>2011</v>
      </c>
      <c r="P21" s="16">
        <v>52.3</v>
      </c>
      <c r="Q21" s="16">
        <v>25.7</v>
      </c>
      <c r="R21" s="16">
        <v>80.3</v>
      </c>
      <c r="S21" s="16">
        <v>17.2</v>
      </c>
      <c r="T21" s="16">
        <v>74.900000000000006</v>
      </c>
      <c r="U21" s="16">
        <v>11.2</v>
      </c>
      <c r="V21" s="16">
        <v>83.5</v>
      </c>
      <c r="W21" s="16">
        <v>0.1</v>
      </c>
      <c r="X21" s="16">
        <v>32.1</v>
      </c>
      <c r="Y21" s="16">
        <v>60.4</v>
      </c>
      <c r="Z21" s="16">
        <v>78.5</v>
      </c>
      <c r="AA21" s="16">
        <v>68.599999999999994</v>
      </c>
    </row>
    <row r="22" spans="1:27" x14ac:dyDescent="0.25">
      <c r="A22">
        <v>2012</v>
      </c>
      <c r="B22" s="19">
        <v>8.9</v>
      </c>
      <c r="C22" s="19">
        <v>7</v>
      </c>
      <c r="D22" s="19">
        <v>13.2</v>
      </c>
      <c r="E22" s="19">
        <v>14.5</v>
      </c>
      <c r="F22" s="19">
        <v>18.7</v>
      </c>
      <c r="G22" s="19">
        <v>24.9</v>
      </c>
      <c r="H22" s="19">
        <v>28.6</v>
      </c>
      <c r="I22" s="19">
        <v>27.7</v>
      </c>
      <c r="J22" s="19">
        <v>23.4</v>
      </c>
      <c r="K22" s="19">
        <v>18.7</v>
      </c>
      <c r="L22" s="19">
        <v>16.3</v>
      </c>
      <c r="M22" s="19">
        <v>9.8000000000000007</v>
      </c>
      <c r="O22">
        <v>2012</v>
      </c>
      <c r="P22" s="16">
        <v>34.4</v>
      </c>
      <c r="Q22" s="16">
        <v>113.1</v>
      </c>
      <c r="R22" s="16">
        <v>6.4</v>
      </c>
      <c r="S22" s="16">
        <v>153.69999999999999</v>
      </c>
      <c r="T22" s="16">
        <v>58.1</v>
      </c>
      <c r="U22" s="16">
        <v>26.1</v>
      </c>
      <c r="V22" s="16">
        <v>6.8</v>
      </c>
      <c r="W22" s="16">
        <v>0</v>
      </c>
      <c r="X22" s="16">
        <v>50.3</v>
      </c>
      <c r="Y22" s="16">
        <v>167.9</v>
      </c>
      <c r="Z22" s="16">
        <v>57</v>
      </c>
      <c r="AA22" s="16">
        <v>164.1</v>
      </c>
    </row>
    <row r="23" spans="1:27" x14ac:dyDescent="0.25">
      <c r="A23">
        <v>2013</v>
      </c>
      <c r="B23" s="19">
        <v>9.8000000000000007</v>
      </c>
      <c r="C23" s="19">
        <v>9.1999999999999993</v>
      </c>
      <c r="D23" s="19">
        <v>11.3</v>
      </c>
      <c r="E23" s="19">
        <v>16.399999999999999</v>
      </c>
      <c r="F23" s="19">
        <v>19</v>
      </c>
      <c r="G23" s="19">
        <v>23</v>
      </c>
      <c r="H23" s="19">
        <v>26.4</v>
      </c>
      <c r="I23" s="19">
        <v>26.7</v>
      </c>
      <c r="J23" s="19">
        <v>22.2</v>
      </c>
      <c r="K23" s="19">
        <v>18.600000000000001</v>
      </c>
      <c r="L23" s="19">
        <v>14.9</v>
      </c>
      <c r="M23" s="19">
        <v>11.5</v>
      </c>
      <c r="O23">
        <v>2013</v>
      </c>
      <c r="P23" s="16">
        <v>192.8</v>
      </c>
      <c r="Q23" s="16">
        <v>124.7</v>
      </c>
      <c r="R23" s="16">
        <v>234</v>
      </c>
      <c r="S23" s="16">
        <v>91.4</v>
      </c>
      <c r="T23" s="16">
        <v>124.7</v>
      </c>
      <c r="U23" s="16">
        <v>70.5</v>
      </c>
      <c r="V23" s="16">
        <v>11.5</v>
      </c>
      <c r="W23" s="16">
        <v>15.6</v>
      </c>
      <c r="X23" s="16">
        <v>42.3</v>
      </c>
      <c r="Y23" s="16">
        <v>94.2</v>
      </c>
      <c r="Z23" s="16">
        <v>224.4</v>
      </c>
      <c r="AA23" s="16">
        <v>97.9</v>
      </c>
    </row>
    <row r="24" spans="1:27" x14ac:dyDescent="0.25">
      <c r="A24">
        <v>2014</v>
      </c>
      <c r="B24" s="19">
        <v>11.5</v>
      </c>
      <c r="C24" s="19">
        <v>12.6</v>
      </c>
      <c r="D24" s="19">
        <v>13.2</v>
      </c>
      <c r="E24" s="19">
        <v>15.6</v>
      </c>
      <c r="F24" s="19">
        <v>17.8</v>
      </c>
      <c r="G24" s="19">
        <v>23</v>
      </c>
      <c r="H24" s="19">
        <v>24.8</v>
      </c>
      <c r="I24" s="19">
        <v>25.8</v>
      </c>
      <c r="J24" s="19">
        <v>21.2</v>
      </c>
      <c r="K24" s="19">
        <v>18.600000000000001</v>
      </c>
      <c r="L24" s="19">
        <v>16</v>
      </c>
      <c r="M24" s="19">
        <v>11.1</v>
      </c>
      <c r="O24">
        <v>2014</v>
      </c>
      <c r="P24" s="16">
        <v>208.5</v>
      </c>
      <c r="Q24" s="16">
        <v>217.9</v>
      </c>
      <c r="R24" s="16">
        <v>50</v>
      </c>
      <c r="S24" s="16">
        <v>93.2</v>
      </c>
      <c r="T24" s="16">
        <v>47.3</v>
      </c>
      <c r="U24" s="16">
        <v>78.599999999999994</v>
      </c>
      <c r="V24" s="16">
        <v>50.8</v>
      </c>
      <c r="W24" s="16">
        <v>32.9</v>
      </c>
      <c r="X24" s="16">
        <v>169</v>
      </c>
      <c r="Y24" s="16">
        <v>20.5</v>
      </c>
      <c r="Z24" s="16">
        <v>115.7</v>
      </c>
      <c r="AA24" s="16">
        <v>189.6</v>
      </c>
    </row>
    <row r="25" spans="1:27" x14ac:dyDescent="0.25">
      <c r="A25">
        <v>2015</v>
      </c>
      <c r="B25" s="19">
        <v>9.5</v>
      </c>
      <c r="C25" s="19">
        <v>9.6</v>
      </c>
      <c r="D25" s="19">
        <v>11.8</v>
      </c>
      <c r="E25" s="19">
        <v>14.5</v>
      </c>
      <c r="F25" s="19">
        <v>20</v>
      </c>
      <c r="G25" s="19">
        <v>24.2</v>
      </c>
      <c r="H25" s="19">
        <v>28.4</v>
      </c>
      <c r="I25" s="19">
        <v>27</v>
      </c>
      <c r="J25" s="19">
        <v>23.6</v>
      </c>
      <c r="K25" s="19">
        <v>18.100000000000001</v>
      </c>
      <c r="L25" s="19">
        <v>14.3</v>
      </c>
      <c r="M25" s="19">
        <v>11.6</v>
      </c>
      <c r="O25">
        <v>2015</v>
      </c>
      <c r="P25" s="16">
        <v>127.7</v>
      </c>
      <c r="Q25" s="16">
        <v>144.30000000000001</v>
      </c>
      <c r="R25" s="16">
        <v>105.5</v>
      </c>
      <c r="S25" s="16">
        <v>61</v>
      </c>
      <c r="T25" s="16">
        <v>22.4</v>
      </c>
      <c r="U25" s="16">
        <v>73.599999999999994</v>
      </c>
      <c r="V25" s="16">
        <v>32</v>
      </c>
      <c r="W25" s="16">
        <v>116.3</v>
      </c>
      <c r="X25" s="16">
        <v>84.6</v>
      </c>
      <c r="Y25" s="16">
        <v>189.4</v>
      </c>
      <c r="Z25" s="16">
        <v>47.2</v>
      </c>
      <c r="AA25" s="16">
        <v>0</v>
      </c>
    </row>
    <row r="26" spans="1:27" x14ac:dyDescent="0.25">
      <c r="A26">
        <v>2016</v>
      </c>
      <c r="B26" s="19">
        <v>9.9</v>
      </c>
      <c r="C26" s="19">
        <v>12.5</v>
      </c>
      <c r="D26" s="19">
        <v>12.4</v>
      </c>
      <c r="E26" s="19">
        <v>16.7</v>
      </c>
      <c r="F26" s="19">
        <v>18.7</v>
      </c>
      <c r="G26" s="19">
        <v>23.3</v>
      </c>
      <c r="H26" s="19">
        <v>26.9</v>
      </c>
      <c r="I26" s="19">
        <v>25.5</v>
      </c>
      <c r="J26" s="19">
        <v>22.5</v>
      </c>
      <c r="K26" s="19">
        <v>17.2</v>
      </c>
      <c r="L26" s="19">
        <v>13.9</v>
      </c>
      <c r="M26" s="19">
        <v>10.1</v>
      </c>
      <c r="O26">
        <v>2016</v>
      </c>
      <c r="P26" s="19">
        <v>76.7</v>
      </c>
      <c r="Q26" s="19">
        <v>127.7</v>
      </c>
      <c r="R26" s="19">
        <v>77.8</v>
      </c>
      <c r="S26" s="19">
        <v>55.3</v>
      </c>
      <c r="T26" s="19">
        <v>74.3</v>
      </c>
      <c r="U26" s="19">
        <v>125.5</v>
      </c>
      <c r="V26" s="19">
        <v>5.5</v>
      </c>
      <c r="W26" s="19">
        <v>25.4</v>
      </c>
      <c r="X26" s="19">
        <v>90</v>
      </c>
      <c r="Y26" s="19">
        <v>86.5</v>
      </c>
      <c r="Z26" s="19">
        <v>118.4</v>
      </c>
      <c r="AA26" s="19">
        <v>0.2</v>
      </c>
    </row>
    <row r="27" spans="1:27" x14ac:dyDescent="0.25">
      <c r="A27">
        <v>2017</v>
      </c>
      <c r="B27" s="19">
        <v>6</v>
      </c>
      <c r="C27" s="19">
        <v>11.1</v>
      </c>
      <c r="D27" s="19">
        <v>13.8</v>
      </c>
      <c r="E27" s="19">
        <v>14.9</v>
      </c>
      <c r="F27" s="19">
        <v>19.7</v>
      </c>
      <c r="G27" s="19">
        <v>25.5</v>
      </c>
      <c r="H27" s="19">
        <v>26.9</v>
      </c>
      <c r="I27" s="19">
        <v>27.7</v>
      </c>
      <c r="J27" s="19">
        <v>21.1</v>
      </c>
      <c r="K27" s="19">
        <v>17.399999999999999</v>
      </c>
      <c r="L27" s="19">
        <v>13.1</v>
      </c>
      <c r="M27" s="19">
        <v>10</v>
      </c>
      <c r="O27">
        <v>2017</v>
      </c>
      <c r="P27" s="19">
        <v>58.9</v>
      </c>
      <c r="Q27" s="19">
        <v>95.2</v>
      </c>
      <c r="R27" s="19">
        <v>72.400000000000006</v>
      </c>
      <c r="S27" s="19">
        <v>60.5</v>
      </c>
      <c r="T27" s="19">
        <v>60.6</v>
      </c>
      <c r="U27" s="19">
        <v>16.2</v>
      </c>
      <c r="V27" s="19">
        <v>20.399999999999999</v>
      </c>
      <c r="W27" s="19">
        <v>2.9</v>
      </c>
      <c r="X27" s="19">
        <v>103</v>
      </c>
      <c r="Y27" s="19">
        <v>37.4</v>
      </c>
      <c r="Z27" s="19">
        <v>95.8</v>
      </c>
      <c r="AA27" s="19">
        <v>109.5</v>
      </c>
    </row>
    <row r="28" spans="1:27" x14ac:dyDescent="0.25">
      <c r="A28">
        <v>2018</v>
      </c>
      <c r="B28" s="19">
        <v>11</v>
      </c>
      <c r="C28" s="19">
        <v>8.5</v>
      </c>
      <c r="D28" s="19">
        <v>11.4</v>
      </c>
      <c r="E28" s="19">
        <v>17.899999999999999</v>
      </c>
      <c r="F28" s="19">
        <v>21.8</v>
      </c>
      <c r="G28" s="19">
        <v>24.4</v>
      </c>
      <c r="H28" s="19">
        <v>26.5</v>
      </c>
      <c r="I28" s="19">
        <v>27.4</v>
      </c>
      <c r="J28" s="19">
        <v>23.4</v>
      </c>
      <c r="K28" s="19">
        <v>19.5</v>
      </c>
      <c r="L28" s="19">
        <v>15.2</v>
      </c>
      <c r="M28" s="19">
        <v>10.6</v>
      </c>
      <c r="O28">
        <v>2018</v>
      </c>
      <c r="P28" s="19">
        <v>115</v>
      </c>
      <c r="Q28" s="19">
        <v>167.8</v>
      </c>
      <c r="R28" s="19">
        <v>170.6</v>
      </c>
      <c r="S28" s="19">
        <v>49.2</v>
      </c>
      <c r="T28" s="19">
        <v>81.900000000000006</v>
      </c>
      <c r="U28" s="19">
        <v>95.6</v>
      </c>
      <c r="V28" s="19">
        <v>19</v>
      </c>
      <c r="W28" s="19">
        <v>32</v>
      </c>
      <c r="X28" s="19">
        <v>6.6</v>
      </c>
      <c r="Y28" s="19">
        <v>148.30000000000001</v>
      </c>
      <c r="Z28" s="19">
        <v>269.3</v>
      </c>
      <c r="AA28" s="19">
        <v>111.6</v>
      </c>
    </row>
    <row r="29" spans="1:27" x14ac:dyDescent="0.25">
      <c r="A29">
        <v>2019</v>
      </c>
      <c r="B29" s="19">
        <v>7.7</v>
      </c>
      <c r="C29" s="19">
        <v>10.6</v>
      </c>
      <c r="D29" s="19">
        <v>13.2</v>
      </c>
      <c r="E29" s="19">
        <v>15.3</v>
      </c>
      <c r="F29" s="19">
        <v>16.5</v>
      </c>
      <c r="G29" s="19">
        <v>25.3</v>
      </c>
      <c r="H29" s="19">
        <v>26.3</v>
      </c>
      <c r="I29" s="19">
        <v>27.4</v>
      </c>
      <c r="J29" s="19">
        <v>23</v>
      </c>
      <c r="K29" s="19">
        <v>18.8</v>
      </c>
      <c r="L29" s="19">
        <v>16.5</v>
      </c>
      <c r="M29" s="19">
        <v>12.1</v>
      </c>
      <c r="O29">
        <v>2019</v>
      </c>
      <c r="P29" s="19">
        <v>162.19999999999999</v>
      </c>
      <c r="Q29" s="19">
        <v>26.5</v>
      </c>
      <c r="R29" s="19">
        <v>44</v>
      </c>
      <c r="S29" s="19">
        <v>178.6</v>
      </c>
      <c r="T29" s="19">
        <v>105.5</v>
      </c>
      <c r="U29" s="19">
        <v>8.5</v>
      </c>
      <c r="V29" s="19">
        <v>121.8</v>
      </c>
      <c r="W29" s="19">
        <v>11.3</v>
      </c>
      <c r="X29" s="19">
        <v>56.6</v>
      </c>
      <c r="Y29" s="19">
        <v>24.7</v>
      </c>
      <c r="Z29" s="19">
        <v>327.39999999999998</v>
      </c>
      <c r="AA29" s="19">
        <v>267.7</v>
      </c>
    </row>
    <row r="30" spans="1:27" x14ac:dyDescent="0.25">
      <c r="A30">
        <v>2020</v>
      </c>
      <c r="B30" s="19">
        <v>9.9</v>
      </c>
      <c r="C30" s="19">
        <v>11.3</v>
      </c>
      <c r="D30" s="19">
        <v>12.1</v>
      </c>
      <c r="E30" s="19">
        <v>15.5</v>
      </c>
      <c r="F30" s="19">
        <v>19.899999999999999</v>
      </c>
      <c r="G30" s="19">
        <v>22.6</v>
      </c>
      <c r="H30" s="19">
        <v>25.3</v>
      </c>
      <c r="I30" s="19">
        <v>27.5</v>
      </c>
      <c r="J30" s="19">
        <v>23.6</v>
      </c>
      <c r="K30" s="19">
        <v>17.399999999999999</v>
      </c>
      <c r="L30" s="19">
        <v>14.3</v>
      </c>
      <c r="M30" s="19">
        <v>11.7</v>
      </c>
      <c r="O30">
        <v>2020</v>
      </c>
      <c r="P30" s="19">
        <v>17.399999999999999</v>
      </c>
      <c r="Q30" s="19">
        <v>31.3</v>
      </c>
      <c r="R30" s="19">
        <v>47.5</v>
      </c>
      <c r="S30" s="19">
        <v>29.6</v>
      </c>
      <c r="T30" s="19">
        <v>27.8</v>
      </c>
      <c r="U30" s="19">
        <v>45.5</v>
      </c>
      <c r="V30" s="19">
        <v>5.9</v>
      </c>
      <c r="W30" s="19">
        <v>25.8</v>
      </c>
      <c r="X30" s="19">
        <v>91.1</v>
      </c>
      <c r="Y30" s="19">
        <v>137.30000000000001</v>
      </c>
      <c r="Z30" s="19">
        <v>35.5</v>
      </c>
      <c r="AA30" s="19">
        <v>443.1</v>
      </c>
    </row>
    <row r="31" spans="1:27" x14ac:dyDescent="0.25">
      <c r="A31">
        <v>2021</v>
      </c>
      <c r="B31" s="19">
        <v>8.6</v>
      </c>
      <c r="C31" s="19">
        <v>10.5</v>
      </c>
      <c r="D31" s="19">
        <v>10.8</v>
      </c>
      <c r="E31" s="19">
        <v>13.5</v>
      </c>
      <c r="F31" s="19">
        <v>19.2</v>
      </c>
      <c r="G31" s="19">
        <v>25</v>
      </c>
      <c r="H31" s="19">
        <v>28</v>
      </c>
      <c r="I31" s="19">
        <v>27.2</v>
      </c>
      <c r="J31" s="19">
        <v>23</v>
      </c>
      <c r="K31" s="19">
        <v>17.2</v>
      </c>
      <c r="L31" s="19">
        <v>15</v>
      </c>
      <c r="M31" s="19">
        <v>10.8</v>
      </c>
      <c r="O31">
        <v>2021</v>
      </c>
      <c r="P31" s="19">
        <v>192.5</v>
      </c>
      <c r="Q31" s="19">
        <v>79.8</v>
      </c>
      <c r="R31" s="19">
        <v>29.2</v>
      </c>
      <c r="S31" s="19">
        <v>24.1</v>
      </c>
      <c r="T31" s="19">
        <v>52.4</v>
      </c>
      <c r="U31" s="19">
        <v>13.1</v>
      </c>
      <c r="V31" s="19">
        <v>9</v>
      </c>
      <c r="W31" s="19">
        <v>103.3</v>
      </c>
      <c r="X31" s="19">
        <v>17.600000000000001</v>
      </c>
      <c r="Y31" s="19">
        <v>85.2</v>
      </c>
      <c r="Z31" s="19">
        <v>253.1</v>
      </c>
      <c r="AA31" s="19">
        <v>221.3</v>
      </c>
    </row>
    <row r="32" spans="1:27" x14ac:dyDescent="0.25">
      <c r="A32">
        <v>2022</v>
      </c>
      <c r="B32" s="19">
        <v>9.6</v>
      </c>
      <c r="C32" s="19">
        <v>10.6</v>
      </c>
      <c r="D32" s="19">
        <v>10.4</v>
      </c>
      <c r="E32" s="19">
        <v>14.3</v>
      </c>
      <c r="F32" s="19">
        <v>20.9</v>
      </c>
      <c r="G32" s="19">
        <v>26.5</v>
      </c>
      <c r="H32" s="19">
        <v>27.8</v>
      </c>
      <c r="I32" s="19">
        <v>27</v>
      </c>
      <c r="J32" s="19">
        <v>22.5</v>
      </c>
      <c r="K32" s="19">
        <v>19.3</v>
      </c>
      <c r="L32" s="19">
        <v>14.8</v>
      </c>
      <c r="M32" s="19">
        <v>12.8</v>
      </c>
      <c r="O32">
        <v>2022</v>
      </c>
      <c r="P32" s="19">
        <v>8.6</v>
      </c>
      <c r="Q32" s="19">
        <v>45</v>
      </c>
      <c r="R32" s="19">
        <v>20.6</v>
      </c>
      <c r="S32" s="19">
        <v>75.900000000000006</v>
      </c>
      <c r="T32" s="19">
        <v>6.7</v>
      </c>
      <c r="U32" s="19">
        <v>38.9</v>
      </c>
      <c r="V32" s="19">
        <v>25.9</v>
      </c>
      <c r="W32" s="19">
        <v>24.8</v>
      </c>
      <c r="X32" s="19">
        <v>64.2</v>
      </c>
      <c r="Y32" s="19">
        <v>14.7</v>
      </c>
      <c r="Z32" s="19">
        <v>206.9</v>
      </c>
      <c r="AA32" s="19">
        <v>183</v>
      </c>
    </row>
    <row r="33" spans="1:27" x14ac:dyDescent="0.25">
      <c r="A33">
        <v>2023</v>
      </c>
      <c r="B33">
        <v>10.5</v>
      </c>
      <c r="C33">
        <v>9.4</v>
      </c>
      <c r="D33">
        <v>12.7</v>
      </c>
      <c r="E33">
        <v>14.1</v>
      </c>
      <c r="F33">
        <v>19.5</v>
      </c>
      <c r="G33">
        <v>23.7</v>
      </c>
      <c r="H33">
        <v>27.8</v>
      </c>
      <c r="I33">
        <v>26.7</v>
      </c>
      <c r="J33">
        <v>24.4</v>
      </c>
      <c r="K33">
        <v>21.1</v>
      </c>
      <c r="L33">
        <v>14.7</v>
      </c>
      <c r="M33">
        <v>12.2</v>
      </c>
      <c r="O33">
        <v>2023</v>
      </c>
      <c r="P33">
        <v>162.4</v>
      </c>
      <c r="Q33">
        <v>51.7</v>
      </c>
      <c r="R33">
        <v>58.8</v>
      </c>
      <c r="S33">
        <v>50.4</v>
      </c>
      <c r="T33">
        <v>143.4</v>
      </c>
      <c r="U33">
        <v>42.7</v>
      </c>
      <c r="V33">
        <v>22.4</v>
      </c>
      <c r="W33">
        <v>133.80000000000001</v>
      </c>
      <c r="X33">
        <v>34.4</v>
      </c>
      <c r="Y33">
        <v>86.9</v>
      </c>
      <c r="Z33">
        <v>192.5</v>
      </c>
      <c r="AA33">
        <v>81.400000000000006</v>
      </c>
    </row>
    <row r="34" spans="1:27" x14ac:dyDescent="0.25">
      <c r="A34">
        <v>2024</v>
      </c>
      <c r="B34">
        <v>10.8</v>
      </c>
      <c r="C34">
        <v>12.9</v>
      </c>
      <c r="D34">
        <v>13.7</v>
      </c>
      <c r="E34">
        <v>16.8</v>
      </c>
      <c r="F34">
        <v>20.3</v>
      </c>
      <c r="G34">
        <v>25.4</v>
      </c>
      <c r="H34">
        <v>28.7</v>
      </c>
      <c r="I34">
        <v>28.4</v>
      </c>
      <c r="J34">
        <v>22.8</v>
      </c>
      <c r="K34">
        <v>19.399999999999999</v>
      </c>
      <c r="L34">
        <v>14</v>
      </c>
      <c r="M34">
        <v>11.1</v>
      </c>
      <c r="O34">
        <v>2024</v>
      </c>
      <c r="P34">
        <v>64</v>
      </c>
      <c r="Q34">
        <v>69.5</v>
      </c>
      <c r="R34">
        <v>153</v>
      </c>
      <c r="S34">
        <v>26.2</v>
      </c>
      <c r="T34">
        <v>19.7</v>
      </c>
      <c r="U34">
        <v>23</v>
      </c>
      <c r="V34">
        <v>18.2</v>
      </c>
      <c r="W34">
        <v>34.299999999999997</v>
      </c>
      <c r="X34">
        <v>175.6</v>
      </c>
      <c r="Y34">
        <v>113.3</v>
      </c>
      <c r="Z34">
        <v>64.3</v>
      </c>
      <c r="AA34">
        <v>85.2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6295-3181-400E-81DE-A1E82160684A}">
  <dimension ref="A1:AA40"/>
  <sheetViews>
    <sheetView workbookViewId="0">
      <selection activeCell="S17" sqref="S17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8.3133333333333344</v>
      </c>
      <c r="C2" s="4">
        <f t="shared" ref="C2:L2" si="0">AVERAGE(C5:C46)</f>
        <v>8.6566666666666663</v>
      </c>
      <c r="D2" s="4">
        <f t="shared" si="0"/>
        <v>10.736666666666666</v>
      </c>
      <c r="E2" s="4">
        <f t="shared" si="0"/>
        <v>14.00333333333333</v>
      </c>
      <c r="F2" s="4">
        <f t="shared" si="0"/>
        <v>18.213333333333335</v>
      </c>
      <c r="G2" s="4">
        <f t="shared" si="0"/>
        <v>23.29333333333334</v>
      </c>
      <c r="H2" s="4">
        <f t="shared" si="0"/>
        <v>25.693333333333335</v>
      </c>
      <c r="I2" s="4">
        <f t="shared" si="0"/>
        <v>25.063333333333333</v>
      </c>
      <c r="J2" s="4">
        <f t="shared" si="0"/>
        <v>20.910000000000004</v>
      </c>
      <c r="K2" s="4">
        <f t="shared" si="0"/>
        <v>17.170000000000002</v>
      </c>
      <c r="L2" s="4">
        <f t="shared" si="0"/>
        <v>13.17</v>
      </c>
      <c r="M2" s="4">
        <f>AVERAGE(M5:M46)</f>
        <v>9.7866666666666635</v>
      </c>
      <c r="O2" s="30"/>
      <c r="P2" s="4">
        <f>AVERAGE(P5:P46)</f>
        <v>93.486666666666665</v>
      </c>
      <c r="Q2" s="4">
        <f t="shared" ref="Q2:Z2" si="1">AVERAGE(Q5:Q46)</f>
        <v>78.429999999999993</v>
      </c>
      <c r="R2" s="4">
        <f t="shared" si="1"/>
        <v>64.056666666666658</v>
      </c>
      <c r="S2" s="4">
        <f t="shared" si="1"/>
        <v>63.413333333333327</v>
      </c>
      <c r="T2" s="4">
        <f t="shared" si="1"/>
        <v>70.996666666666655</v>
      </c>
      <c r="U2" s="4">
        <f t="shared" si="1"/>
        <v>48.909999999999989</v>
      </c>
      <c r="V2" s="4">
        <f t="shared" si="1"/>
        <v>39.193333333333321</v>
      </c>
      <c r="W2" s="4">
        <f t="shared" si="1"/>
        <v>57.840000000000011</v>
      </c>
      <c r="X2" s="4">
        <f t="shared" si="1"/>
        <v>97.663333333333327</v>
      </c>
      <c r="Y2" s="4">
        <f t="shared" si="1"/>
        <v>121.24666666666667</v>
      </c>
      <c r="Z2" s="4">
        <f t="shared" si="1"/>
        <v>131.46666666666664</v>
      </c>
      <c r="AA2" s="4">
        <f>AVERAGE(AA5:AA46)</f>
        <v>116.65000000000003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7.4</v>
      </c>
      <c r="C5" s="2">
        <v>9.6</v>
      </c>
      <c r="D5" s="2">
        <v>9</v>
      </c>
      <c r="E5" s="2">
        <v>12.3</v>
      </c>
      <c r="F5" s="2">
        <v>16.7</v>
      </c>
      <c r="G5" s="2">
        <v>20.3</v>
      </c>
      <c r="H5" s="2">
        <v>25.5</v>
      </c>
      <c r="I5" s="2">
        <v>23.1</v>
      </c>
      <c r="J5" s="2">
        <v>19</v>
      </c>
      <c r="K5" s="2">
        <v>17.8</v>
      </c>
      <c r="L5" s="2">
        <v>11.3</v>
      </c>
      <c r="M5" s="2">
        <v>9.3000000000000007</v>
      </c>
      <c r="O5">
        <v>1995</v>
      </c>
      <c r="P5" s="2">
        <v>69.900000000000006</v>
      </c>
      <c r="Q5" s="2">
        <v>113.3</v>
      </c>
      <c r="R5" s="2">
        <v>132.1</v>
      </c>
      <c r="S5" s="2">
        <v>16.3</v>
      </c>
      <c r="T5" s="2">
        <v>114.5</v>
      </c>
      <c r="U5" s="2">
        <v>158.9</v>
      </c>
      <c r="V5" s="2">
        <v>23.8</v>
      </c>
      <c r="W5" s="2">
        <v>46.8</v>
      </c>
      <c r="X5" s="2">
        <v>151.9</v>
      </c>
      <c r="Y5" s="2">
        <v>131</v>
      </c>
      <c r="Z5" s="2">
        <v>52.5</v>
      </c>
      <c r="AA5" s="2">
        <v>173</v>
      </c>
    </row>
    <row r="6" spans="1:27" x14ac:dyDescent="0.25">
      <c r="A6">
        <v>1996</v>
      </c>
      <c r="B6" s="2">
        <v>8.1</v>
      </c>
      <c r="C6" s="2">
        <v>6.2</v>
      </c>
      <c r="D6" s="2">
        <v>7.8</v>
      </c>
      <c r="E6" s="2">
        <v>13.5</v>
      </c>
      <c r="F6" s="2">
        <v>18</v>
      </c>
      <c r="G6" s="2">
        <v>22.8</v>
      </c>
      <c r="H6" s="2">
        <v>23.2</v>
      </c>
      <c r="I6" s="2">
        <v>23.5</v>
      </c>
      <c r="J6" s="2">
        <v>17.600000000000001</v>
      </c>
      <c r="K6" s="2">
        <v>16.100000000000001</v>
      </c>
      <c r="L6" s="2">
        <v>12.9</v>
      </c>
      <c r="M6" s="2">
        <v>8.6</v>
      </c>
      <c r="O6">
        <v>1996</v>
      </c>
      <c r="P6" s="2">
        <v>108.5</v>
      </c>
      <c r="Q6" s="2">
        <v>50</v>
      </c>
      <c r="R6" s="2">
        <v>38.4</v>
      </c>
      <c r="S6" s="2">
        <v>39.799999999999997</v>
      </c>
      <c r="T6" s="2">
        <v>68.3</v>
      </c>
      <c r="U6" s="2">
        <v>42.6</v>
      </c>
      <c r="V6" s="2">
        <v>16.2</v>
      </c>
      <c r="W6" s="2">
        <v>51.6</v>
      </c>
      <c r="X6" s="2">
        <v>167.4</v>
      </c>
      <c r="Y6" s="2">
        <v>155.30000000000001</v>
      </c>
      <c r="Z6" s="2">
        <v>173.3</v>
      </c>
      <c r="AA6" s="2">
        <v>162.19999999999999</v>
      </c>
    </row>
    <row r="7" spans="1:27" x14ac:dyDescent="0.25">
      <c r="A7">
        <v>1997</v>
      </c>
      <c r="B7" s="2">
        <v>8.6999999999999993</v>
      </c>
      <c r="C7" s="2">
        <v>9.1</v>
      </c>
      <c r="D7" s="2">
        <v>11.4</v>
      </c>
      <c r="E7" s="2">
        <v>10.7</v>
      </c>
      <c r="F7" s="2">
        <v>18</v>
      </c>
      <c r="G7" s="2">
        <v>21.8</v>
      </c>
      <c r="H7" s="2">
        <v>23.5</v>
      </c>
      <c r="I7" s="2">
        <v>23.8</v>
      </c>
      <c r="J7" s="2">
        <v>21</v>
      </c>
      <c r="K7" s="2">
        <v>15.6</v>
      </c>
      <c r="L7" s="2">
        <v>12.1</v>
      </c>
      <c r="M7" s="2">
        <v>9.6999999999999993</v>
      </c>
      <c r="O7">
        <v>1997</v>
      </c>
      <c r="P7" s="2">
        <v>123</v>
      </c>
      <c r="Q7" s="2">
        <v>50.1</v>
      </c>
      <c r="R7" s="2">
        <v>61.3</v>
      </c>
      <c r="S7" s="2">
        <v>77.7</v>
      </c>
      <c r="T7" s="2">
        <v>49.5</v>
      </c>
      <c r="U7" s="2">
        <v>79.400000000000006</v>
      </c>
      <c r="V7" s="2">
        <v>103.7</v>
      </c>
      <c r="W7" s="2">
        <v>64.099999999999994</v>
      </c>
      <c r="X7" s="2">
        <v>41.2</v>
      </c>
      <c r="Y7" s="2">
        <v>32.1</v>
      </c>
      <c r="Z7" s="2">
        <v>191.9</v>
      </c>
      <c r="AA7" s="2">
        <v>204.2</v>
      </c>
    </row>
    <row r="8" spans="1:27" x14ac:dyDescent="0.25">
      <c r="A8">
        <v>1998</v>
      </c>
      <c r="B8" s="2">
        <v>8.5</v>
      </c>
      <c r="C8" s="2">
        <v>10</v>
      </c>
      <c r="D8" s="2">
        <v>9.5</v>
      </c>
      <c r="E8" s="2">
        <v>13.7</v>
      </c>
      <c r="F8" s="2">
        <v>18.3</v>
      </c>
      <c r="G8" s="2">
        <v>23</v>
      </c>
      <c r="H8" s="2">
        <v>25.7</v>
      </c>
      <c r="I8" s="2">
        <v>26.2</v>
      </c>
      <c r="J8" s="2">
        <v>20.3</v>
      </c>
      <c r="K8" s="2">
        <v>16.899999999999999</v>
      </c>
      <c r="L8" s="2">
        <v>10.9</v>
      </c>
      <c r="M8" s="2">
        <v>7.9</v>
      </c>
      <c r="O8">
        <v>1998</v>
      </c>
      <c r="P8" s="2">
        <v>39</v>
      </c>
      <c r="Q8" s="2">
        <v>13.8</v>
      </c>
      <c r="R8" s="2">
        <v>8.3000000000000007</v>
      </c>
      <c r="S8" s="2">
        <v>108.8</v>
      </c>
      <c r="T8" s="2">
        <v>26.9</v>
      </c>
      <c r="U8" s="2">
        <v>35.6</v>
      </c>
      <c r="V8" s="2">
        <v>29.4</v>
      </c>
      <c r="W8" s="2">
        <v>10.5</v>
      </c>
      <c r="X8" s="2">
        <v>173.2</v>
      </c>
      <c r="Y8" s="2">
        <v>99.4</v>
      </c>
      <c r="Z8" s="2">
        <v>53.2</v>
      </c>
      <c r="AA8" s="2">
        <v>69.5</v>
      </c>
    </row>
    <row r="9" spans="1:27" x14ac:dyDescent="0.25">
      <c r="A9">
        <v>1999</v>
      </c>
      <c r="B9" s="2">
        <v>8.1</v>
      </c>
      <c r="C9" s="2">
        <v>7.1</v>
      </c>
      <c r="D9" s="2">
        <v>10.6</v>
      </c>
      <c r="E9" s="2">
        <v>13.7</v>
      </c>
      <c r="F9" s="2">
        <v>18.5</v>
      </c>
      <c r="G9" s="2">
        <v>22.8</v>
      </c>
      <c r="H9" s="2">
        <v>24.6</v>
      </c>
      <c r="I9" s="2">
        <v>24.8</v>
      </c>
      <c r="J9" s="2">
        <v>21.9</v>
      </c>
      <c r="K9" s="2">
        <v>17</v>
      </c>
      <c r="L9" s="2">
        <v>11.6</v>
      </c>
      <c r="M9" s="2">
        <v>9.4</v>
      </c>
      <c r="O9">
        <v>1999</v>
      </c>
      <c r="P9" s="2">
        <v>95.3</v>
      </c>
      <c r="Q9" s="2">
        <v>70</v>
      </c>
      <c r="R9" s="2">
        <v>56</v>
      </c>
      <c r="S9" s="2">
        <v>105.8</v>
      </c>
      <c r="T9" s="2">
        <v>76.2</v>
      </c>
      <c r="U9" s="2">
        <v>56.4</v>
      </c>
      <c r="V9" s="2">
        <v>4.5</v>
      </c>
      <c r="W9" s="2">
        <v>107.5</v>
      </c>
      <c r="X9" s="2">
        <v>78.599999999999994</v>
      </c>
      <c r="Y9" s="2">
        <v>85.6</v>
      </c>
      <c r="Z9" s="2">
        <v>162.6</v>
      </c>
      <c r="AA9" s="2">
        <v>96.2</v>
      </c>
    </row>
    <row r="10" spans="1:27" x14ac:dyDescent="0.25">
      <c r="A10">
        <v>2000</v>
      </c>
      <c r="B10" s="19">
        <v>6.6</v>
      </c>
      <c r="C10" s="19">
        <v>8.6</v>
      </c>
      <c r="D10" s="19">
        <v>10.3</v>
      </c>
      <c r="E10" s="19">
        <v>14.8</v>
      </c>
      <c r="F10" s="19">
        <v>20</v>
      </c>
      <c r="G10" s="19">
        <v>24.1</v>
      </c>
      <c r="H10" s="19">
        <v>23.7</v>
      </c>
      <c r="I10" s="19">
        <v>26.1</v>
      </c>
      <c r="J10" s="19">
        <v>21.1</v>
      </c>
      <c r="K10" s="19">
        <v>18.100000000000001</v>
      </c>
      <c r="L10" s="19">
        <v>14.6</v>
      </c>
      <c r="M10" s="19">
        <v>11.4</v>
      </c>
      <c r="O10">
        <v>2000</v>
      </c>
      <c r="P10" s="19">
        <v>42.5</v>
      </c>
      <c r="Q10" s="19">
        <v>57.5</v>
      </c>
      <c r="R10" s="19">
        <v>78.5</v>
      </c>
      <c r="S10" s="19">
        <v>30.9</v>
      </c>
      <c r="T10" s="19">
        <v>27.9</v>
      </c>
      <c r="U10" s="19">
        <v>9.8000000000000007</v>
      </c>
      <c r="V10" s="19">
        <v>48.1</v>
      </c>
      <c r="W10" s="19">
        <v>6.8</v>
      </c>
      <c r="X10" s="19">
        <v>69.5</v>
      </c>
      <c r="Y10" s="19">
        <v>149.5</v>
      </c>
      <c r="Z10" s="19">
        <v>194.9</v>
      </c>
      <c r="AA10" s="19">
        <v>164.8</v>
      </c>
    </row>
    <row r="11" spans="1:27" x14ac:dyDescent="0.25">
      <c r="A11">
        <v>2001</v>
      </c>
      <c r="B11" s="19">
        <v>9.9</v>
      </c>
      <c r="C11" s="19">
        <v>9.5</v>
      </c>
      <c r="D11" s="19">
        <v>13.1</v>
      </c>
      <c r="E11" s="19">
        <v>13.1</v>
      </c>
      <c r="F11" s="19">
        <v>19.7</v>
      </c>
      <c r="G11" s="19">
        <v>21.4</v>
      </c>
      <c r="H11" s="19">
        <v>25.2</v>
      </c>
      <c r="I11" s="19">
        <v>26.5</v>
      </c>
      <c r="J11" s="19">
        <v>18.7</v>
      </c>
      <c r="K11" s="19">
        <v>18.399999999999999</v>
      </c>
      <c r="L11" s="19">
        <v>11.9</v>
      </c>
      <c r="M11" s="19">
        <v>6.6</v>
      </c>
      <c r="O11">
        <v>2001</v>
      </c>
      <c r="P11" s="19">
        <v>171.6</v>
      </c>
      <c r="Q11" s="19">
        <v>20.7</v>
      </c>
      <c r="R11" s="19">
        <v>96.9</v>
      </c>
      <c r="S11" s="19">
        <v>84.5</v>
      </c>
      <c r="T11" s="19">
        <v>38.9</v>
      </c>
      <c r="U11" s="19">
        <v>51.7</v>
      </c>
      <c r="V11" s="19">
        <v>8.5</v>
      </c>
      <c r="W11" s="19">
        <v>4.5999999999999996</v>
      </c>
      <c r="X11" s="19">
        <v>149.4</v>
      </c>
      <c r="Y11" s="19">
        <v>135.19999999999999</v>
      </c>
      <c r="Z11" s="19">
        <v>69.8</v>
      </c>
      <c r="AA11" s="19">
        <v>29.3</v>
      </c>
    </row>
    <row r="12" spans="1:27" x14ac:dyDescent="0.25">
      <c r="A12">
        <v>2002</v>
      </c>
      <c r="B12" s="20">
        <v>6.9</v>
      </c>
      <c r="C12" s="20">
        <v>9</v>
      </c>
      <c r="D12" s="20">
        <v>11.5</v>
      </c>
      <c r="E12" s="20">
        <v>13.3</v>
      </c>
      <c r="F12" s="20">
        <v>18.8</v>
      </c>
      <c r="G12" s="20">
        <v>23.5</v>
      </c>
      <c r="H12" s="20">
        <v>24.7</v>
      </c>
      <c r="I12" s="20">
        <v>23.7</v>
      </c>
      <c r="J12" s="20">
        <v>19.7</v>
      </c>
      <c r="K12" s="20">
        <v>17.2</v>
      </c>
      <c r="L12" s="20">
        <v>14.6</v>
      </c>
      <c r="M12" s="20">
        <v>9.8000000000000007</v>
      </c>
      <c r="O12">
        <v>2002</v>
      </c>
      <c r="P12" s="20">
        <v>21</v>
      </c>
      <c r="Q12" s="20">
        <v>122</v>
      </c>
      <c r="R12" s="20">
        <v>3</v>
      </c>
      <c r="S12" s="20">
        <v>110</v>
      </c>
      <c r="T12" s="20">
        <v>52</v>
      </c>
      <c r="U12" s="20">
        <v>90</v>
      </c>
      <c r="V12" s="20">
        <v>44</v>
      </c>
      <c r="W12" s="20">
        <v>163</v>
      </c>
      <c r="X12" s="20">
        <v>172</v>
      </c>
      <c r="Y12" s="20">
        <v>138</v>
      </c>
      <c r="Z12" s="20">
        <v>121</v>
      </c>
      <c r="AA12" s="20">
        <v>120</v>
      </c>
    </row>
    <row r="13" spans="1:27" x14ac:dyDescent="0.25">
      <c r="A13">
        <v>2003</v>
      </c>
      <c r="B13" s="20">
        <v>7.8</v>
      </c>
      <c r="C13" s="20">
        <v>5.6</v>
      </c>
      <c r="D13" s="20">
        <v>10.1</v>
      </c>
      <c r="E13" s="20">
        <v>12.8</v>
      </c>
      <c r="F13" s="20">
        <v>20.100000000000001</v>
      </c>
      <c r="G13" s="20">
        <v>26</v>
      </c>
      <c r="H13" s="20">
        <v>26.5</v>
      </c>
      <c r="I13" s="20">
        <v>20.100000000000001</v>
      </c>
      <c r="J13" s="20">
        <v>20.100000000000001</v>
      </c>
      <c r="K13" s="20">
        <v>15.2</v>
      </c>
      <c r="L13" s="20">
        <v>13.6</v>
      </c>
      <c r="M13" s="20">
        <v>10.1</v>
      </c>
      <c r="O13">
        <v>2003</v>
      </c>
      <c r="P13" s="20">
        <v>146.80000000000001</v>
      </c>
      <c r="Q13" s="20">
        <v>22.1</v>
      </c>
      <c r="R13" s="20">
        <v>41.3</v>
      </c>
      <c r="S13" s="20">
        <v>57.7</v>
      </c>
      <c r="T13" s="20">
        <v>21.9</v>
      </c>
      <c r="U13" s="20">
        <v>45.5</v>
      </c>
      <c r="V13" s="20">
        <v>4.3</v>
      </c>
      <c r="W13" s="20">
        <v>0.6</v>
      </c>
      <c r="X13" s="20">
        <v>144.5</v>
      </c>
      <c r="Y13" s="20">
        <v>172.5</v>
      </c>
      <c r="Z13" s="20">
        <v>61.7</v>
      </c>
      <c r="AA13" s="20">
        <v>92.7</v>
      </c>
    </row>
    <row r="14" spans="1:27" x14ac:dyDescent="0.25">
      <c r="A14">
        <v>2004</v>
      </c>
      <c r="B14" s="19">
        <v>6.8</v>
      </c>
      <c r="C14" s="19">
        <v>7.4</v>
      </c>
      <c r="D14" s="19">
        <v>9.3000000000000007</v>
      </c>
      <c r="E14" s="19">
        <v>13.3</v>
      </c>
      <c r="F14" s="19">
        <v>16.600000000000001</v>
      </c>
      <c r="G14" s="19">
        <v>21.6</v>
      </c>
      <c r="H14" s="19">
        <v>25</v>
      </c>
      <c r="I14" s="19">
        <v>24.8</v>
      </c>
      <c r="J14" s="19">
        <v>20.8</v>
      </c>
      <c r="K14" s="19">
        <v>18.2</v>
      </c>
      <c r="L14" s="19">
        <v>12.9</v>
      </c>
      <c r="M14" s="19">
        <v>10.1</v>
      </c>
      <c r="O14">
        <v>2004</v>
      </c>
      <c r="P14" s="19">
        <v>163.1</v>
      </c>
      <c r="Q14" s="19">
        <v>112.3</v>
      </c>
      <c r="R14" s="19">
        <v>73.599999999999994</v>
      </c>
      <c r="S14" s="19">
        <v>73.8</v>
      </c>
      <c r="T14" s="19">
        <v>102.3</v>
      </c>
      <c r="U14" s="19">
        <v>51.3</v>
      </c>
      <c r="V14" s="19">
        <v>21.4</v>
      </c>
      <c r="W14" s="19">
        <v>34.9</v>
      </c>
      <c r="X14" s="19">
        <v>51.5</v>
      </c>
      <c r="Y14" s="19">
        <v>139.19999999999999</v>
      </c>
      <c r="Z14" s="19">
        <v>75.099999999999994</v>
      </c>
      <c r="AA14" s="19">
        <v>173.3</v>
      </c>
    </row>
    <row r="15" spans="1:27" x14ac:dyDescent="0.25">
      <c r="A15">
        <v>2005</v>
      </c>
      <c r="B15" s="19">
        <v>7.1</v>
      </c>
      <c r="C15" s="19">
        <v>5.6</v>
      </c>
      <c r="D15" s="19">
        <v>9.1999999999999993</v>
      </c>
      <c r="E15" s="19">
        <v>13</v>
      </c>
      <c r="F15" s="19">
        <v>8.6</v>
      </c>
      <c r="G15" s="19">
        <v>22.8</v>
      </c>
      <c r="H15" s="19">
        <v>24.9</v>
      </c>
      <c r="I15" s="19">
        <v>22.3</v>
      </c>
      <c r="J15" s="19">
        <v>21.2</v>
      </c>
      <c r="K15" s="19">
        <v>16.100000000000001</v>
      </c>
      <c r="L15" s="19">
        <v>12</v>
      </c>
      <c r="M15" s="19">
        <v>8.1999999999999993</v>
      </c>
      <c r="O15">
        <v>2005</v>
      </c>
      <c r="P15" s="19">
        <v>85.3</v>
      </c>
      <c r="Q15" s="19">
        <v>80.7</v>
      </c>
      <c r="R15" s="19">
        <v>35.9</v>
      </c>
      <c r="S15" s="19">
        <v>98</v>
      </c>
      <c r="T15" s="19">
        <v>45</v>
      </c>
      <c r="U15" s="19">
        <v>3.8</v>
      </c>
      <c r="V15" s="19">
        <v>54.2</v>
      </c>
      <c r="W15" s="19">
        <v>111.2</v>
      </c>
      <c r="X15" s="19">
        <v>69</v>
      </c>
      <c r="Y15" s="19">
        <v>170.7</v>
      </c>
      <c r="Z15" s="19">
        <v>109.9</v>
      </c>
      <c r="AA15" s="19">
        <v>166.9</v>
      </c>
    </row>
    <row r="16" spans="1:27" x14ac:dyDescent="0.25">
      <c r="A16">
        <v>2006</v>
      </c>
      <c r="B16" s="19">
        <v>6.5</v>
      </c>
      <c r="C16" s="19">
        <v>7.4</v>
      </c>
      <c r="D16" s="19">
        <v>8.5</v>
      </c>
      <c r="E16" s="19">
        <v>13.7</v>
      </c>
      <c r="F16" s="19">
        <v>18</v>
      </c>
      <c r="G16" s="19">
        <v>22.4</v>
      </c>
      <c r="H16" s="19">
        <v>26.2</v>
      </c>
      <c r="I16" s="19">
        <v>22.6</v>
      </c>
      <c r="J16" s="19">
        <v>21.6</v>
      </c>
      <c r="K16" s="19">
        <v>18.3</v>
      </c>
      <c r="L16" s="19">
        <v>13.5</v>
      </c>
      <c r="M16" s="19">
        <v>10.8</v>
      </c>
      <c r="O16">
        <v>2006</v>
      </c>
      <c r="P16" s="19">
        <v>87.9</v>
      </c>
      <c r="Q16" s="19">
        <v>47.9</v>
      </c>
      <c r="R16" s="19">
        <v>59</v>
      </c>
      <c r="S16" s="19">
        <v>70.8</v>
      </c>
      <c r="T16" s="19">
        <v>49.4</v>
      </c>
      <c r="U16" s="19">
        <v>17.100000000000001</v>
      </c>
      <c r="V16" s="19">
        <v>14.2</v>
      </c>
      <c r="W16" s="19">
        <v>130.4</v>
      </c>
      <c r="X16" s="19">
        <v>43.4</v>
      </c>
      <c r="Y16" s="19">
        <v>54.3</v>
      </c>
      <c r="Z16" s="19">
        <v>46.7</v>
      </c>
      <c r="AA16" s="19">
        <v>50.9</v>
      </c>
    </row>
    <row r="17" spans="1:27" x14ac:dyDescent="0.25">
      <c r="A17">
        <v>2007</v>
      </c>
      <c r="B17" s="19">
        <v>10.4</v>
      </c>
      <c r="C17" s="19">
        <v>10.7</v>
      </c>
      <c r="D17" s="19">
        <v>12.1</v>
      </c>
      <c r="E17" s="19">
        <v>16.399999999999999</v>
      </c>
      <c r="F17" s="19">
        <v>19.8</v>
      </c>
      <c r="G17" s="19">
        <v>23.6</v>
      </c>
      <c r="H17" s="19">
        <v>26.1</v>
      </c>
      <c r="I17" s="19">
        <v>23.9</v>
      </c>
      <c r="J17" s="19">
        <v>18.899999999999999</v>
      </c>
      <c r="K17" s="19">
        <v>15.4</v>
      </c>
      <c r="L17" s="19">
        <v>11.2</v>
      </c>
      <c r="M17" s="19">
        <v>8.3000000000000007</v>
      </c>
      <c r="O17">
        <v>2007</v>
      </c>
      <c r="P17" s="19">
        <v>56.7</v>
      </c>
      <c r="Q17" s="19">
        <v>94.1</v>
      </c>
      <c r="R17" s="19">
        <v>91.2</v>
      </c>
      <c r="S17" s="19">
        <v>0.2</v>
      </c>
      <c r="T17" s="19">
        <v>168.6</v>
      </c>
      <c r="U17" s="19">
        <v>94.1</v>
      </c>
      <c r="V17" s="19">
        <v>27.4</v>
      </c>
      <c r="W17" s="19">
        <v>124.2</v>
      </c>
      <c r="X17" s="19">
        <v>74.7</v>
      </c>
      <c r="Y17" s="19">
        <v>84.1</v>
      </c>
      <c r="Z17" s="19">
        <v>13.1</v>
      </c>
      <c r="AA17" s="19">
        <v>99.7</v>
      </c>
    </row>
    <row r="18" spans="1:27" x14ac:dyDescent="0.25">
      <c r="A18">
        <v>2008</v>
      </c>
      <c r="B18" s="19">
        <v>9.1</v>
      </c>
      <c r="C18" s="19">
        <v>8.1999999999999993</v>
      </c>
      <c r="D18" s="19">
        <v>10.5</v>
      </c>
      <c r="E18" s="19">
        <v>13.8</v>
      </c>
      <c r="F18" s="19">
        <v>18.8</v>
      </c>
      <c r="G18" s="19">
        <v>23.2</v>
      </c>
      <c r="H18" s="19">
        <v>25.8</v>
      </c>
      <c r="I18" s="19">
        <v>25.5</v>
      </c>
      <c r="J18" s="19">
        <v>19.8</v>
      </c>
      <c r="K18" s="19">
        <v>17.3</v>
      </c>
      <c r="L18" s="19">
        <v>13.1</v>
      </c>
      <c r="M18" s="19">
        <v>9.5</v>
      </c>
      <c r="O18">
        <v>2008</v>
      </c>
      <c r="P18" s="19">
        <v>43.2</v>
      </c>
      <c r="Q18" s="19">
        <v>38</v>
      </c>
      <c r="R18" s="19">
        <v>137.1</v>
      </c>
      <c r="S18" s="19">
        <v>49.8</v>
      </c>
      <c r="T18" s="19">
        <v>75.7</v>
      </c>
      <c r="U18" s="19">
        <v>108.2</v>
      </c>
      <c r="V18" s="19">
        <v>4.7</v>
      </c>
      <c r="W18" s="19">
        <v>23.3</v>
      </c>
      <c r="X18" s="19">
        <v>17</v>
      </c>
      <c r="Y18" s="19">
        <v>51.1</v>
      </c>
      <c r="Z18" s="19">
        <v>95.6</v>
      </c>
      <c r="AA18" s="19">
        <v>178</v>
      </c>
    </row>
    <row r="19" spans="1:27" x14ac:dyDescent="0.25">
      <c r="A19">
        <v>2009</v>
      </c>
      <c r="B19" s="19">
        <v>7.7</v>
      </c>
      <c r="C19" s="19">
        <v>7.7</v>
      </c>
      <c r="D19" s="19">
        <v>10.3</v>
      </c>
      <c r="E19" s="19">
        <v>14.8</v>
      </c>
      <c r="F19" s="19">
        <v>20.2</v>
      </c>
      <c r="G19" s="19">
        <v>22</v>
      </c>
      <c r="H19" s="19">
        <v>25.8</v>
      </c>
      <c r="I19" s="19">
        <v>26.1</v>
      </c>
      <c r="J19" s="19">
        <v>22</v>
      </c>
      <c r="K19" s="19">
        <v>16.100000000000001</v>
      </c>
      <c r="L19" s="19">
        <v>13.2</v>
      </c>
      <c r="M19" s="19">
        <v>9.1999999999999993</v>
      </c>
      <c r="O19">
        <v>2009</v>
      </c>
      <c r="P19" s="19">
        <v>130.6</v>
      </c>
      <c r="Q19" s="19">
        <v>88.3</v>
      </c>
      <c r="R19" s="19">
        <v>74.8</v>
      </c>
      <c r="S19" s="19">
        <v>73.7</v>
      </c>
      <c r="T19" s="19">
        <v>3.2</v>
      </c>
      <c r="U19" s="19">
        <v>25.7</v>
      </c>
      <c r="V19" s="19">
        <v>23.2</v>
      </c>
      <c r="W19" s="19">
        <v>49.9</v>
      </c>
      <c r="X19" s="19">
        <v>44.4</v>
      </c>
      <c r="Y19" s="19">
        <v>90.7</v>
      </c>
      <c r="Z19" s="19">
        <v>181.5</v>
      </c>
      <c r="AA19" s="19">
        <v>152.19999999999999</v>
      </c>
    </row>
    <row r="20" spans="1:27" x14ac:dyDescent="0.25">
      <c r="A20">
        <v>2010</v>
      </c>
      <c r="B20" s="19">
        <v>6.4</v>
      </c>
      <c r="C20" s="19">
        <v>7.9</v>
      </c>
      <c r="D20" s="19">
        <v>9.6999999999999993</v>
      </c>
      <c r="E20" s="19">
        <v>14</v>
      </c>
      <c r="F20" s="19">
        <v>17.3</v>
      </c>
      <c r="G20" s="19">
        <v>22.4</v>
      </c>
      <c r="H20" s="19">
        <v>26.1</v>
      </c>
      <c r="I20" s="19">
        <v>24.1</v>
      </c>
      <c r="J20" s="19">
        <v>19.7</v>
      </c>
      <c r="K20" s="19">
        <v>15.5</v>
      </c>
      <c r="L20" s="19">
        <v>13.2</v>
      </c>
      <c r="M20" s="19">
        <v>8.1</v>
      </c>
      <c r="O20">
        <v>2010</v>
      </c>
      <c r="P20" s="19">
        <v>265.60000000000002</v>
      </c>
      <c r="Q20" s="19">
        <v>164.5</v>
      </c>
      <c r="R20" s="19">
        <v>54.2</v>
      </c>
      <c r="S20" s="19">
        <v>99</v>
      </c>
      <c r="T20" s="19">
        <v>103.6</v>
      </c>
      <c r="U20" s="19">
        <v>64.8</v>
      </c>
      <c r="V20" s="19">
        <v>29.9</v>
      </c>
      <c r="W20" s="19">
        <v>47.1</v>
      </c>
      <c r="X20" s="19">
        <v>143</v>
      </c>
      <c r="Y20" s="19">
        <v>105.3</v>
      </c>
      <c r="Z20" s="19">
        <v>232.6</v>
      </c>
      <c r="AA20" s="19">
        <v>178.6</v>
      </c>
    </row>
    <row r="21" spans="1:27" x14ac:dyDescent="0.25">
      <c r="A21">
        <v>2011</v>
      </c>
      <c r="B21" s="19">
        <v>7.7</v>
      </c>
      <c r="C21" s="19">
        <v>8.3000000000000007</v>
      </c>
      <c r="D21" s="19">
        <v>10.4</v>
      </c>
      <c r="E21" s="19">
        <v>15.5</v>
      </c>
      <c r="F21" s="19">
        <v>19.2</v>
      </c>
      <c r="G21" s="19">
        <v>23.5</v>
      </c>
      <c r="H21" s="19">
        <v>24.4</v>
      </c>
      <c r="I21" s="19">
        <v>26</v>
      </c>
      <c r="J21" s="19">
        <v>23.7</v>
      </c>
      <c r="K21" s="19">
        <v>16.3</v>
      </c>
      <c r="L21" s="19">
        <v>12.6</v>
      </c>
      <c r="M21" s="19">
        <v>11.1</v>
      </c>
      <c r="O21">
        <v>2011</v>
      </c>
      <c r="P21" s="19">
        <v>42</v>
      </c>
      <c r="Q21" s="19">
        <v>10</v>
      </c>
      <c r="R21" s="19">
        <v>67.3</v>
      </c>
      <c r="S21" s="19">
        <v>15.9</v>
      </c>
      <c r="T21" s="19">
        <v>14.2</v>
      </c>
      <c r="U21" s="19">
        <v>43.3</v>
      </c>
      <c r="V21" s="19">
        <v>79.8</v>
      </c>
      <c r="W21" s="19">
        <v>15.9</v>
      </c>
      <c r="X21" s="19">
        <v>21</v>
      </c>
      <c r="Y21" s="19">
        <v>173.9</v>
      </c>
      <c r="Z21" s="19">
        <v>51</v>
      </c>
      <c r="AA21" s="19">
        <v>47.5</v>
      </c>
    </row>
    <row r="22" spans="1:27" x14ac:dyDescent="0.25">
      <c r="A22">
        <v>2012</v>
      </c>
      <c r="B22" s="19">
        <v>8.3000000000000007</v>
      </c>
      <c r="C22" s="19">
        <v>5.0999999999999996</v>
      </c>
      <c r="D22" s="19">
        <v>12.6</v>
      </c>
      <c r="E22" s="19">
        <v>13.7</v>
      </c>
      <c r="F22" s="19">
        <v>17.899999999999999</v>
      </c>
      <c r="G22" s="19">
        <v>24.6</v>
      </c>
      <c r="H22" s="19">
        <v>27.4</v>
      </c>
      <c r="I22" s="19">
        <v>26.7</v>
      </c>
      <c r="J22" s="19">
        <v>21.3</v>
      </c>
      <c r="K22" s="19">
        <v>17.600000000000001</v>
      </c>
      <c r="L22" s="19">
        <v>14.6</v>
      </c>
      <c r="M22" s="19">
        <v>9</v>
      </c>
      <c r="O22">
        <v>2012</v>
      </c>
      <c r="P22" s="19">
        <v>18.100000000000001</v>
      </c>
      <c r="Q22" s="19">
        <v>31.9</v>
      </c>
      <c r="R22" s="19">
        <v>1.3</v>
      </c>
      <c r="S22" s="19">
        <v>64.3</v>
      </c>
      <c r="T22" s="19">
        <v>41.6</v>
      </c>
      <c r="U22" s="19">
        <v>6.5</v>
      </c>
      <c r="V22" s="19">
        <v>9.6</v>
      </c>
      <c r="W22" s="19">
        <v>28.2</v>
      </c>
      <c r="X22" s="19">
        <v>140.19999999999999</v>
      </c>
      <c r="Y22" s="19">
        <v>210.8</v>
      </c>
      <c r="Z22" s="19">
        <v>245.4</v>
      </c>
      <c r="AA22" s="19">
        <v>143.1</v>
      </c>
    </row>
    <row r="23" spans="1:27" x14ac:dyDescent="0.25">
      <c r="A23">
        <v>2013</v>
      </c>
      <c r="B23" s="19">
        <v>8.6</v>
      </c>
      <c r="C23" s="19">
        <v>7.4</v>
      </c>
      <c r="D23" s="19">
        <v>9.8000000000000007</v>
      </c>
      <c r="E23" s="19">
        <v>14.7</v>
      </c>
      <c r="F23" s="19">
        <v>17.399999999999999</v>
      </c>
      <c r="G23" s="19">
        <v>22.5</v>
      </c>
      <c r="H23" s="19">
        <v>26</v>
      </c>
      <c r="I23" s="19">
        <v>25.5</v>
      </c>
      <c r="J23" s="19">
        <v>21</v>
      </c>
      <c r="K23" s="19">
        <v>17.2</v>
      </c>
      <c r="L23" s="19">
        <v>13.3</v>
      </c>
      <c r="M23" s="19">
        <v>10.9</v>
      </c>
      <c r="O23">
        <v>2013</v>
      </c>
      <c r="P23" s="19">
        <v>177.7</v>
      </c>
      <c r="Q23" s="19">
        <v>133.1</v>
      </c>
      <c r="R23" s="19">
        <v>127.3</v>
      </c>
      <c r="S23" s="19">
        <v>91.6</v>
      </c>
      <c r="T23" s="19">
        <v>130.6</v>
      </c>
      <c r="U23" s="19">
        <v>43.5</v>
      </c>
      <c r="V23" s="19">
        <v>1.6</v>
      </c>
      <c r="W23" s="19">
        <v>39.6</v>
      </c>
      <c r="X23" s="19">
        <v>74.5</v>
      </c>
      <c r="Y23" s="19">
        <v>172.1</v>
      </c>
      <c r="Z23" s="19">
        <v>134.5</v>
      </c>
      <c r="AA23" s="19">
        <v>18.899999999999999</v>
      </c>
    </row>
    <row r="24" spans="1:27" x14ac:dyDescent="0.25">
      <c r="A24">
        <v>2014</v>
      </c>
      <c r="B24" s="19">
        <v>10.8</v>
      </c>
      <c r="C24" s="19">
        <v>11.2</v>
      </c>
      <c r="D24" s="19">
        <v>12.3</v>
      </c>
      <c r="E24" s="19">
        <v>15.1</v>
      </c>
      <c r="F24" s="19">
        <v>17.600000000000001</v>
      </c>
      <c r="G24" s="19">
        <v>23.1</v>
      </c>
      <c r="H24" s="19">
        <v>23.5</v>
      </c>
      <c r="I24" s="19">
        <v>24</v>
      </c>
      <c r="J24" s="19">
        <v>19.8</v>
      </c>
      <c r="K24" s="19">
        <v>17.899999999999999</v>
      </c>
      <c r="L24" s="19">
        <v>15.1</v>
      </c>
      <c r="M24" s="19">
        <v>10.199999999999999</v>
      </c>
      <c r="O24">
        <v>2014</v>
      </c>
      <c r="P24" s="19">
        <v>131.69999999999999</v>
      </c>
      <c r="Q24" s="19">
        <v>187.6</v>
      </c>
      <c r="R24" s="19">
        <v>47.7</v>
      </c>
      <c r="S24" s="19">
        <v>38.9</v>
      </c>
      <c r="T24" s="19">
        <v>84.8</v>
      </c>
      <c r="U24" s="19">
        <v>51.4</v>
      </c>
      <c r="V24" s="19">
        <v>273.7</v>
      </c>
      <c r="W24" s="19">
        <v>39.799999999999997</v>
      </c>
      <c r="X24" s="19">
        <v>185.8</v>
      </c>
      <c r="Y24" s="19">
        <v>17.8</v>
      </c>
      <c r="Z24" s="19">
        <v>197.9</v>
      </c>
      <c r="AA24" s="19">
        <v>163.69999999999999</v>
      </c>
    </row>
    <row r="25" spans="1:27" x14ac:dyDescent="0.25">
      <c r="A25">
        <v>2015</v>
      </c>
      <c r="B25" s="19">
        <v>9.6999999999999993</v>
      </c>
      <c r="C25" s="19">
        <v>8.4</v>
      </c>
      <c r="D25" s="19">
        <v>11</v>
      </c>
      <c r="E25" s="19">
        <v>13.9</v>
      </c>
      <c r="F25" s="19">
        <v>19.100000000000001</v>
      </c>
      <c r="G25" s="19">
        <v>23.7</v>
      </c>
      <c r="H25" s="19">
        <v>28.1</v>
      </c>
      <c r="I25" s="19">
        <v>26.1</v>
      </c>
      <c r="J25" s="19">
        <v>21.5</v>
      </c>
      <c r="K25" s="19">
        <v>16.5</v>
      </c>
      <c r="L25" s="19">
        <v>12.9</v>
      </c>
      <c r="M25" s="19">
        <v>10.5</v>
      </c>
      <c r="O25">
        <v>2015</v>
      </c>
      <c r="P25" s="19">
        <v>48.1</v>
      </c>
      <c r="Q25" s="19">
        <v>122.6</v>
      </c>
      <c r="R25" s="19">
        <v>37.4</v>
      </c>
      <c r="S25" s="19">
        <v>17.600000000000001</v>
      </c>
      <c r="T25" s="19">
        <v>34.299999999999997</v>
      </c>
      <c r="U25" s="19">
        <v>38.200000000000003</v>
      </c>
      <c r="V25" s="19">
        <v>7.2</v>
      </c>
      <c r="W25" s="19">
        <v>59.7</v>
      </c>
      <c r="X25" s="19">
        <v>78.7</v>
      </c>
      <c r="Y25" s="19">
        <v>235.1</v>
      </c>
      <c r="Z25" s="19">
        <v>45.6</v>
      </c>
      <c r="AA25" s="19">
        <v>0.3</v>
      </c>
    </row>
    <row r="26" spans="1:27" x14ac:dyDescent="0.25">
      <c r="A26">
        <v>2016</v>
      </c>
      <c r="B26" s="2">
        <v>9</v>
      </c>
      <c r="C26" s="2">
        <v>11.1</v>
      </c>
      <c r="D26" s="2">
        <v>11</v>
      </c>
      <c r="E26" s="2">
        <v>14.9</v>
      </c>
      <c r="F26" s="2">
        <v>17.600000000000001</v>
      </c>
      <c r="G26" s="2">
        <v>23.3</v>
      </c>
      <c r="H26" s="2">
        <v>26.4</v>
      </c>
      <c r="I26" s="2">
        <v>24.3</v>
      </c>
      <c r="J26" s="2">
        <v>21.8</v>
      </c>
      <c r="K26" s="2">
        <v>16.399999999999999</v>
      </c>
      <c r="L26" s="2">
        <v>12.8</v>
      </c>
      <c r="M26" s="2">
        <v>9.9</v>
      </c>
      <c r="O26">
        <v>2016</v>
      </c>
      <c r="P26" s="2">
        <v>180.6</v>
      </c>
      <c r="Q26" s="2">
        <v>163.19999999999999</v>
      </c>
      <c r="R26" s="2">
        <v>83.6</v>
      </c>
      <c r="S26" s="2">
        <v>63.8</v>
      </c>
      <c r="T26" s="2">
        <v>85.9</v>
      </c>
      <c r="U26" s="2">
        <v>27.1</v>
      </c>
      <c r="V26" s="2">
        <v>14.9</v>
      </c>
      <c r="W26" s="2">
        <v>167.4</v>
      </c>
      <c r="X26" s="2">
        <v>56.2</v>
      </c>
      <c r="Y26" s="2">
        <v>107.4</v>
      </c>
      <c r="Z26" s="2">
        <v>188.7</v>
      </c>
      <c r="AA26" s="2">
        <v>1.9</v>
      </c>
    </row>
    <row r="27" spans="1:27" x14ac:dyDescent="0.25">
      <c r="A27">
        <v>2017</v>
      </c>
      <c r="B27" s="2">
        <v>5.3</v>
      </c>
      <c r="C27" s="2">
        <v>9.5</v>
      </c>
      <c r="D27" s="2">
        <v>12.6</v>
      </c>
      <c r="E27" s="2">
        <v>14.2</v>
      </c>
      <c r="F27" s="2">
        <v>18.600000000000001</v>
      </c>
      <c r="G27" s="2">
        <v>24.4</v>
      </c>
      <c r="H27" s="2">
        <v>26.2</v>
      </c>
      <c r="I27" s="2">
        <v>26.8</v>
      </c>
      <c r="J27" s="2">
        <v>19.7</v>
      </c>
      <c r="K27" s="2">
        <v>16.7</v>
      </c>
      <c r="L27" s="2">
        <v>12.5</v>
      </c>
      <c r="M27" s="2">
        <v>9.1</v>
      </c>
      <c r="O27">
        <v>2017</v>
      </c>
      <c r="P27" s="2">
        <v>41.5</v>
      </c>
      <c r="Q27" s="2">
        <v>115.9</v>
      </c>
      <c r="R27" s="2">
        <v>71.099999999999994</v>
      </c>
      <c r="S27" s="2">
        <v>69</v>
      </c>
      <c r="T27" s="2">
        <v>58.9</v>
      </c>
      <c r="U27" s="2">
        <v>66.5</v>
      </c>
      <c r="V27" s="2">
        <v>18.3</v>
      </c>
      <c r="W27" s="2">
        <v>6.5</v>
      </c>
      <c r="X27" s="2">
        <v>249.9</v>
      </c>
      <c r="Y27" s="2">
        <v>174.1</v>
      </c>
      <c r="Z27" s="2">
        <v>253</v>
      </c>
      <c r="AA27" s="2">
        <v>91.8</v>
      </c>
    </row>
    <row r="28" spans="1:27" x14ac:dyDescent="0.25">
      <c r="A28">
        <v>2018</v>
      </c>
      <c r="B28" s="2">
        <v>10.1</v>
      </c>
      <c r="C28" s="2">
        <v>6.3</v>
      </c>
      <c r="D28" s="2">
        <v>9.6999999999999993</v>
      </c>
      <c r="E28" s="2">
        <v>16.5</v>
      </c>
      <c r="F28" s="2">
        <v>21</v>
      </c>
      <c r="G28" s="2">
        <v>23.7</v>
      </c>
      <c r="H28" s="2">
        <v>25.9</v>
      </c>
      <c r="I28" s="2">
        <v>26.7</v>
      </c>
      <c r="J28" s="2">
        <v>22.1</v>
      </c>
      <c r="K28" s="2">
        <v>18.3</v>
      </c>
      <c r="L28" s="2">
        <v>13.7</v>
      </c>
      <c r="M28" s="2">
        <v>9.6</v>
      </c>
      <c r="O28">
        <v>2018</v>
      </c>
      <c r="P28" s="2">
        <v>84.5</v>
      </c>
      <c r="Q28" s="2">
        <v>151.6</v>
      </c>
      <c r="R28" s="2">
        <v>149.5</v>
      </c>
      <c r="S28" s="2">
        <v>64.900000000000006</v>
      </c>
      <c r="T28" s="2">
        <v>110.6</v>
      </c>
      <c r="U28" s="2">
        <v>67.3</v>
      </c>
      <c r="V28" s="2">
        <v>19.399999999999999</v>
      </c>
      <c r="W28" s="2">
        <v>58.2</v>
      </c>
      <c r="X28" s="2">
        <v>35.700000000000003</v>
      </c>
      <c r="Y28" s="2">
        <v>205.5</v>
      </c>
      <c r="Z28" s="2">
        <v>132.5</v>
      </c>
      <c r="AA28" s="2">
        <v>54.1</v>
      </c>
    </row>
    <row r="29" spans="1:27" x14ac:dyDescent="0.25">
      <c r="A29">
        <v>2019</v>
      </c>
      <c r="B29" s="2">
        <v>7.2</v>
      </c>
      <c r="C29" s="2">
        <v>9.6999999999999993</v>
      </c>
      <c r="D29" s="2">
        <v>12.2</v>
      </c>
      <c r="E29" s="2">
        <v>14.5</v>
      </c>
      <c r="F29" s="2">
        <v>15.4</v>
      </c>
      <c r="G29" s="2">
        <v>24.8</v>
      </c>
      <c r="H29" s="2">
        <v>25.7</v>
      </c>
      <c r="I29" s="2">
        <v>26.2</v>
      </c>
      <c r="J29" s="2">
        <v>21.8</v>
      </c>
      <c r="K29" s="2">
        <v>18</v>
      </c>
      <c r="L29" s="2">
        <v>14.8</v>
      </c>
      <c r="M29" s="2">
        <v>11.2</v>
      </c>
      <c r="O29">
        <v>2019</v>
      </c>
      <c r="P29" s="2">
        <v>67.599999999999994</v>
      </c>
      <c r="Q29" s="2">
        <v>48.7</v>
      </c>
      <c r="R29" s="2">
        <v>55.4</v>
      </c>
      <c r="S29" s="2">
        <v>72.8</v>
      </c>
      <c r="T29" s="2">
        <v>185.5</v>
      </c>
      <c r="U29" s="2">
        <v>12.9</v>
      </c>
      <c r="V29" s="2">
        <v>142.5</v>
      </c>
      <c r="W29" s="2">
        <v>16.7</v>
      </c>
      <c r="X29" s="2">
        <v>53.9</v>
      </c>
      <c r="Y29" s="2">
        <v>62.2</v>
      </c>
      <c r="Z29" s="2">
        <v>292</v>
      </c>
      <c r="AA29" s="2">
        <v>212.2</v>
      </c>
    </row>
    <row r="30" spans="1:27" x14ac:dyDescent="0.25">
      <c r="A30">
        <v>2020</v>
      </c>
      <c r="B30" s="2">
        <v>9.8000000000000007</v>
      </c>
      <c r="C30" s="2">
        <v>11.3</v>
      </c>
      <c r="D30" s="2">
        <v>11.3</v>
      </c>
      <c r="E30" s="2">
        <v>15</v>
      </c>
      <c r="F30" s="2">
        <v>18.899999999999999</v>
      </c>
      <c r="G30" s="2">
        <v>22.4</v>
      </c>
      <c r="H30" s="2">
        <v>25.3</v>
      </c>
      <c r="I30" s="2">
        <v>26.1</v>
      </c>
      <c r="J30" s="2">
        <v>22.2</v>
      </c>
      <c r="K30" s="2">
        <v>16.600000000000001</v>
      </c>
      <c r="L30" s="2">
        <v>13.2</v>
      </c>
      <c r="M30" s="2">
        <v>11</v>
      </c>
      <c r="O30">
        <v>2020</v>
      </c>
      <c r="P30" s="2">
        <v>17</v>
      </c>
      <c r="Q30" s="2">
        <v>16.100000000000001</v>
      </c>
      <c r="R30" s="2">
        <v>26.3</v>
      </c>
      <c r="S30" s="2">
        <v>4.5999999999999996</v>
      </c>
      <c r="T30" s="2">
        <v>15.2</v>
      </c>
      <c r="U30" s="2">
        <v>51.5</v>
      </c>
      <c r="V30" s="2">
        <v>35.299999999999997</v>
      </c>
      <c r="W30" s="2">
        <v>44</v>
      </c>
      <c r="X30" s="2">
        <v>142.1</v>
      </c>
      <c r="Y30" s="2">
        <v>255.5</v>
      </c>
      <c r="Z30" s="2">
        <v>67.099999999999994</v>
      </c>
      <c r="AA30" s="2">
        <v>172.8</v>
      </c>
    </row>
    <row r="31" spans="1:27" x14ac:dyDescent="0.25">
      <c r="A31">
        <v>2021</v>
      </c>
      <c r="B31" s="2">
        <v>8.3000000000000007</v>
      </c>
      <c r="C31" s="2">
        <v>10.4</v>
      </c>
      <c r="D31" s="2">
        <v>10.7</v>
      </c>
      <c r="E31" s="2">
        <v>12.5</v>
      </c>
      <c r="F31" s="2">
        <v>17.5</v>
      </c>
      <c r="G31" s="2">
        <v>25.2</v>
      </c>
      <c r="H31" s="2">
        <v>26.6</v>
      </c>
      <c r="I31" s="2">
        <v>25.9</v>
      </c>
      <c r="J31" s="2">
        <v>22.1</v>
      </c>
      <c r="K31" s="2">
        <v>16.100000000000001</v>
      </c>
      <c r="L31" s="2">
        <v>13.6</v>
      </c>
      <c r="M31" s="2">
        <v>9.9</v>
      </c>
      <c r="O31">
        <v>2021</v>
      </c>
      <c r="P31" s="2">
        <v>124.9</v>
      </c>
      <c r="Q31" s="2">
        <v>58.2</v>
      </c>
      <c r="R31" s="2">
        <v>14.1</v>
      </c>
      <c r="S31" s="2">
        <v>89.3</v>
      </c>
      <c r="T31" s="2">
        <v>29.5</v>
      </c>
      <c r="U31" s="2">
        <v>2.2999999999999998</v>
      </c>
      <c r="V31" s="2">
        <v>35.299999999999997</v>
      </c>
      <c r="W31" s="2">
        <v>47.6</v>
      </c>
      <c r="X31" s="2">
        <v>61.7</v>
      </c>
      <c r="Y31" s="2">
        <v>33.200000000000003</v>
      </c>
      <c r="Z31" s="2">
        <v>124.2</v>
      </c>
      <c r="AA31" s="2">
        <v>150.4</v>
      </c>
    </row>
    <row r="32" spans="1:27" x14ac:dyDescent="0.25">
      <c r="A32">
        <v>2022</v>
      </c>
      <c r="B32" s="2">
        <v>8.5</v>
      </c>
      <c r="C32" s="2">
        <v>9.8000000000000007</v>
      </c>
      <c r="D32" s="2">
        <v>10.199999999999999</v>
      </c>
      <c r="E32" s="2">
        <v>13.4</v>
      </c>
      <c r="F32" s="2">
        <v>20.3</v>
      </c>
      <c r="G32" s="2">
        <v>25.6</v>
      </c>
      <c r="H32" s="2">
        <v>27.5</v>
      </c>
      <c r="I32" s="2">
        <v>26.4</v>
      </c>
      <c r="J32" s="2">
        <v>21.3</v>
      </c>
      <c r="K32" s="2">
        <v>19.3</v>
      </c>
      <c r="L32" s="2">
        <v>14.2</v>
      </c>
      <c r="M32" s="2">
        <v>11.8</v>
      </c>
      <c r="O32">
        <v>2022</v>
      </c>
      <c r="P32" s="2">
        <v>33.799999999999997</v>
      </c>
      <c r="Q32" s="2">
        <v>39</v>
      </c>
      <c r="R32" s="2">
        <v>19.600000000000001</v>
      </c>
      <c r="S32" s="2">
        <v>60.7</v>
      </c>
      <c r="T32" s="2">
        <v>30.5</v>
      </c>
      <c r="U32" s="2">
        <v>18.5</v>
      </c>
      <c r="V32" s="2">
        <v>12.3</v>
      </c>
      <c r="W32" s="2">
        <v>6.4</v>
      </c>
      <c r="X32" s="2">
        <v>66.400000000000006</v>
      </c>
      <c r="Y32" s="2">
        <v>8.9</v>
      </c>
      <c r="Z32" s="2">
        <v>135.1</v>
      </c>
      <c r="AA32" s="2">
        <v>168.8</v>
      </c>
    </row>
    <row r="33" spans="1:27" x14ac:dyDescent="0.25">
      <c r="A33">
        <v>2023</v>
      </c>
      <c r="B33" s="2">
        <v>10</v>
      </c>
      <c r="C33" s="2">
        <v>9.1999999999999993</v>
      </c>
      <c r="D33" s="2">
        <v>12.2</v>
      </c>
      <c r="E33" s="2">
        <v>13.4</v>
      </c>
      <c r="F33" s="2">
        <v>18.8</v>
      </c>
      <c r="G33" s="2">
        <v>24.2</v>
      </c>
      <c r="H33" s="2">
        <v>27.2</v>
      </c>
      <c r="I33" s="2">
        <v>26.2</v>
      </c>
      <c r="J33" s="2">
        <v>23.4</v>
      </c>
      <c r="K33" s="2">
        <v>20.5</v>
      </c>
      <c r="L33" s="2">
        <v>15.1</v>
      </c>
      <c r="M33" s="2">
        <v>12</v>
      </c>
      <c r="O33">
        <v>2023</v>
      </c>
      <c r="P33" s="2">
        <v>130.69999999999999</v>
      </c>
      <c r="Q33" s="2">
        <v>43.3</v>
      </c>
      <c r="R33" s="2">
        <v>73.900000000000006</v>
      </c>
      <c r="S33" s="2">
        <v>83.5</v>
      </c>
      <c r="T33" s="2">
        <v>207.7</v>
      </c>
      <c r="U33" s="2">
        <v>11.3</v>
      </c>
      <c r="V33" s="2">
        <v>26.2</v>
      </c>
      <c r="W33" s="2">
        <v>192.4</v>
      </c>
      <c r="X33" s="2">
        <v>13</v>
      </c>
      <c r="Y33" s="2">
        <v>65.5</v>
      </c>
      <c r="Z33" s="2">
        <v>175.9</v>
      </c>
      <c r="AA33" s="2">
        <v>68</v>
      </c>
    </row>
    <row r="34" spans="1:27" x14ac:dyDescent="0.25">
      <c r="A34">
        <v>2024</v>
      </c>
      <c r="B34">
        <v>10.1</v>
      </c>
      <c r="C34">
        <v>12.4</v>
      </c>
      <c r="D34">
        <v>13.2</v>
      </c>
      <c r="E34">
        <v>15.9</v>
      </c>
      <c r="F34">
        <v>19.7</v>
      </c>
      <c r="G34">
        <v>24.1</v>
      </c>
      <c r="H34">
        <v>28.1</v>
      </c>
      <c r="I34">
        <v>27.9</v>
      </c>
      <c r="J34">
        <v>22.2</v>
      </c>
      <c r="K34">
        <v>18.5</v>
      </c>
      <c r="L34">
        <v>14.1</v>
      </c>
      <c r="M34">
        <v>10.4</v>
      </c>
      <c r="O34">
        <v>2024</v>
      </c>
      <c r="P34">
        <v>56.4</v>
      </c>
      <c r="Q34">
        <v>86.4</v>
      </c>
      <c r="R34">
        <v>105.6</v>
      </c>
      <c r="S34">
        <v>68.7</v>
      </c>
      <c r="T34">
        <v>76.7</v>
      </c>
      <c r="U34">
        <v>92.1</v>
      </c>
      <c r="V34">
        <v>42.2</v>
      </c>
      <c r="W34">
        <v>36.299999999999997</v>
      </c>
      <c r="X34">
        <v>160.1</v>
      </c>
      <c r="Y34">
        <v>121.4</v>
      </c>
      <c r="Z34">
        <v>65.7</v>
      </c>
      <c r="AA34">
        <v>94.5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B398-BD4B-440C-945C-25FF8557BF37}">
  <dimension ref="A1:AA40"/>
  <sheetViews>
    <sheetView topLeftCell="A9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1.4566666666666666</v>
      </c>
      <c r="C2" s="4">
        <f t="shared" ref="C2:L2" si="0">AVERAGE(C5:C46)</f>
        <v>3.03</v>
      </c>
      <c r="D2" s="4">
        <f t="shared" si="0"/>
        <v>6.2666666666666666</v>
      </c>
      <c r="E2" s="4">
        <f t="shared" si="0"/>
        <v>10.87</v>
      </c>
      <c r="F2" s="4">
        <f t="shared" si="0"/>
        <v>15.366666666666667</v>
      </c>
      <c r="G2" s="4">
        <f t="shared" si="0"/>
        <v>19.526666666666664</v>
      </c>
      <c r="H2" s="4">
        <f t="shared" si="0"/>
        <v>21.130000000000003</v>
      </c>
      <c r="I2" s="4">
        <f t="shared" si="0"/>
        <v>20.366666666666664</v>
      </c>
      <c r="J2" s="4">
        <f t="shared" si="0"/>
        <v>15.253333333333336</v>
      </c>
      <c r="K2" s="4">
        <f t="shared" si="0"/>
        <v>11.433333333333335</v>
      </c>
      <c r="L2" s="4">
        <f t="shared" si="0"/>
        <v>6.7100000000000017</v>
      </c>
      <c r="M2" s="4">
        <f>AVERAGE(M5:M46)</f>
        <v>2.4099999999999997</v>
      </c>
      <c r="O2" s="30"/>
      <c r="P2" s="4">
        <f>AVERAGE(P5:P46)</f>
        <v>127.58</v>
      </c>
      <c r="Q2" s="4">
        <f t="shared" ref="Q2:Z2" si="1">AVERAGE(Q5:Q46)</f>
        <v>123.08666666666664</v>
      </c>
      <c r="R2" s="4">
        <f t="shared" si="1"/>
        <v>100.73333333333332</v>
      </c>
      <c r="S2" s="4">
        <f t="shared" si="1"/>
        <v>125.81333333333333</v>
      </c>
      <c r="T2" s="4">
        <f t="shared" si="1"/>
        <v>141.16666666666663</v>
      </c>
      <c r="U2" s="4">
        <f t="shared" si="1"/>
        <v>108.29666666666667</v>
      </c>
      <c r="V2" s="4">
        <f t="shared" si="1"/>
        <v>99.563333333333347</v>
      </c>
      <c r="W2" s="4">
        <f t="shared" si="1"/>
        <v>102.54666666666665</v>
      </c>
      <c r="X2" s="4">
        <f t="shared" si="1"/>
        <v>180.00666666666666</v>
      </c>
      <c r="Y2" s="4">
        <f t="shared" si="1"/>
        <v>146.84333333333331</v>
      </c>
      <c r="Z2" s="4">
        <f t="shared" si="1"/>
        <v>173.61</v>
      </c>
      <c r="AA2" s="4">
        <f>AVERAGE(AA5:AA46)</f>
        <v>161.27666666666667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>
        <v>0.9</v>
      </c>
      <c r="C5">
        <v>6.3</v>
      </c>
      <c r="D5">
        <v>4.7</v>
      </c>
      <c r="E5">
        <v>11</v>
      </c>
      <c r="F5">
        <v>14.4</v>
      </c>
      <c r="G5">
        <v>16.899999999999999</v>
      </c>
      <c r="H5">
        <v>21.6</v>
      </c>
      <c r="I5">
        <v>18.2</v>
      </c>
      <c r="J5">
        <v>14</v>
      </c>
      <c r="K5">
        <v>12</v>
      </c>
      <c r="L5">
        <v>4.9000000000000004</v>
      </c>
      <c r="M5">
        <v>1.1000000000000001</v>
      </c>
      <c r="O5">
        <v>1995</v>
      </c>
      <c r="P5">
        <v>173.7</v>
      </c>
      <c r="Q5">
        <v>130</v>
      </c>
      <c r="R5">
        <v>129.4</v>
      </c>
      <c r="S5">
        <v>56.6</v>
      </c>
      <c r="T5">
        <v>131.6</v>
      </c>
      <c r="U5">
        <v>238.7</v>
      </c>
      <c r="V5">
        <v>57.8</v>
      </c>
      <c r="W5">
        <v>219.2</v>
      </c>
      <c r="X5">
        <v>202.8</v>
      </c>
      <c r="Y5">
        <v>18</v>
      </c>
      <c r="Z5">
        <v>117.5</v>
      </c>
      <c r="AA5">
        <v>249.5</v>
      </c>
    </row>
    <row r="6" spans="1:27" x14ac:dyDescent="0.25">
      <c r="A6">
        <v>1996</v>
      </c>
      <c r="B6">
        <v>-1.3</v>
      </c>
      <c r="C6">
        <v>-1.3</v>
      </c>
      <c r="D6">
        <v>2.1</v>
      </c>
      <c r="E6">
        <v>9.6</v>
      </c>
      <c r="F6">
        <v>15.8</v>
      </c>
      <c r="G6">
        <v>18.899999999999999</v>
      </c>
      <c r="H6">
        <v>17.899999999999999</v>
      </c>
      <c r="I6">
        <v>18.7</v>
      </c>
      <c r="J6">
        <v>12.2</v>
      </c>
      <c r="K6">
        <v>10.4</v>
      </c>
      <c r="L6">
        <v>7.5</v>
      </c>
      <c r="M6">
        <v>-2.6</v>
      </c>
      <c r="O6">
        <v>1996</v>
      </c>
      <c r="P6">
        <v>71.599999999999994</v>
      </c>
      <c r="Q6">
        <v>89.2</v>
      </c>
      <c r="R6">
        <v>56.9</v>
      </c>
      <c r="S6">
        <v>130.30000000000001</v>
      </c>
      <c r="T6">
        <v>170.8</v>
      </c>
      <c r="U6">
        <v>131.69999999999999</v>
      </c>
      <c r="V6">
        <v>110.7</v>
      </c>
      <c r="W6">
        <v>65.900000000000006</v>
      </c>
      <c r="X6">
        <v>266.2</v>
      </c>
      <c r="Y6">
        <v>142.19999999999999</v>
      </c>
      <c r="Z6">
        <v>256.39999999999998</v>
      </c>
      <c r="AA6">
        <v>167.3</v>
      </c>
    </row>
    <row r="7" spans="1:27" x14ac:dyDescent="0.25">
      <c r="A7">
        <v>1997</v>
      </c>
      <c r="B7">
        <v>-1.3</v>
      </c>
      <c r="C7">
        <v>4.0999999999999996</v>
      </c>
      <c r="D7">
        <v>5.6</v>
      </c>
      <c r="E7">
        <v>6.5</v>
      </c>
      <c r="F7">
        <v>15.8</v>
      </c>
      <c r="G7">
        <v>18.600000000000001</v>
      </c>
      <c r="H7">
        <v>19.2</v>
      </c>
      <c r="I7">
        <v>18.600000000000001</v>
      </c>
      <c r="J7">
        <v>14.9</v>
      </c>
      <c r="K7">
        <v>8.5</v>
      </c>
      <c r="L7">
        <v>5.2</v>
      </c>
      <c r="M7">
        <v>2.7</v>
      </c>
      <c r="O7">
        <v>1997</v>
      </c>
      <c r="P7">
        <v>133.30000000000001</v>
      </c>
      <c r="Q7">
        <v>81.7</v>
      </c>
      <c r="R7">
        <v>75.400000000000006</v>
      </c>
      <c r="S7">
        <v>175.1</v>
      </c>
      <c r="T7">
        <v>73.599999999999994</v>
      </c>
      <c r="U7">
        <v>102.5</v>
      </c>
      <c r="V7">
        <v>90.1</v>
      </c>
      <c r="W7">
        <v>118.5</v>
      </c>
      <c r="X7">
        <v>41.3</v>
      </c>
      <c r="Y7">
        <v>81.900000000000006</v>
      </c>
      <c r="Z7">
        <v>158.5</v>
      </c>
      <c r="AA7">
        <v>224.2</v>
      </c>
    </row>
    <row r="8" spans="1:27" x14ac:dyDescent="0.25">
      <c r="A8">
        <v>1998</v>
      </c>
      <c r="B8">
        <v>3.8</v>
      </c>
      <c r="C8">
        <v>4.8</v>
      </c>
      <c r="D8">
        <v>4.3</v>
      </c>
      <c r="E8">
        <v>11.5</v>
      </c>
      <c r="F8">
        <v>14.2</v>
      </c>
      <c r="G8">
        <v>19.8</v>
      </c>
      <c r="H8">
        <v>20.9</v>
      </c>
      <c r="I8">
        <v>20.2</v>
      </c>
      <c r="J8">
        <v>14.9</v>
      </c>
      <c r="K8">
        <v>11.2</v>
      </c>
      <c r="L8">
        <v>3.2</v>
      </c>
      <c r="M8">
        <v>-2.5</v>
      </c>
      <c r="O8">
        <v>1998</v>
      </c>
      <c r="P8">
        <v>109.2</v>
      </c>
      <c r="Q8">
        <v>9.1</v>
      </c>
      <c r="R8">
        <v>55.7</v>
      </c>
      <c r="S8">
        <v>123.6</v>
      </c>
      <c r="T8">
        <v>104.4</v>
      </c>
      <c r="U8">
        <v>91.5</v>
      </c>
      <c r="V8">
        <v>161.4</v>
      </c>
      <c r="W8">
        <v>82.7</v>
      </c>
      <c r="X8">
        <v>204.6</v>
      </c>
      <c r="Y8">
        <v>182.8</v>
      </c>
      <c r="Z8">
        <v>206.1</v>
      </c>
      <c r="AA8">
        <v>98.2</v>
      </c>
    </row>
    <row r="9" spans="1:27" x14ac:dyDescent="0.25">
      <c r="A9">
        <v>1999</v>
      </c>
      <c r="B9">
        <v>1.4</v>
      </c>
      <c r="C9">
        <v>1.4</v>
      </c>
      <c r="D9">
        <v>7.6</v>
      </c>
      <c r="E9">
        <v>11.3</v>
      </c>
      <c r="F9">
        <v>15.5</v>
      </c>
      <c r="G9">
        <v>18.3</v>
      </c>
      <c r="H9">
        <v>19.8</v>
      </c>
      <c r="I9">
        <v>19.5</v>
      </c>
      <c r="J9">
        <v>17.600000000000001</v>
      </c>
      <c r="K9">
        <v>11</v>
      </c>
      <c r="L9">
        <v>2.6</v>
      </c>
      <c r="M9">
        <v>2.8</v>
      </c>
      <c r="O9">
        <v>1999</v>
      </c>
      <c r="P9">
        <v>83.6</v>
      </c>
      <c r="Q9">
        <v>198</v>
      </c>
      <c r="R9">
        <v>70.8</v>
      </c>
      <c r="S9">
        <v>127</v>
      </c>
      <c r="T9">
        <v>151.5</v>
      </c>
      <c r="U9">
        <v>102.2</v>
      </c>
      <c r="V9">
        <v>268.8</v>
      </c>
      <c r="W9">
        <v>86.5</v>
      </c>
      <c r="X9">
        <v>132.1</v>
      </c>
      <c r="Y9">
        <v>77.400000000000006</v>
      </c>
      <c r="Z9">
        <v>206.7</v>
      </c>
      <c r="AA9">
        <v>269.3</v>
      </c>
    </row>
    <row r="10" spans="1:27" x14ac:dyDescent="0.25">
      <c r="A10">
        <v>2000</v>
      </c>
      <c r="B10">
        <v>-1.3</v>
      </c>
      <c r="C10">
        <v>4.5</v>
      </c>
      <c r="D10">
        <v>7.1</v>
      </c>
      <c r="E10">
        <v>13.1</v>
      </c>
      <c r="F10">
        <v>16.2</v>
      </c>
      <c r="G10">
        <v>20.100000000000001</v>
      </c>
      <c r="H10">
        <v>19.5</v>
      </c>
      <c r="I10">
        <v>21.2</v>
      </c>
      <c r="J10">
        <v>15.3</v>
      </c>
      <c r="K10">
        <v>12.6</v>
      </c>
      <c r="L10">
        <v>9.9</v>
      </c>
      <c r="M10">
        <v>6.2</v>
      </c>
      <c r="O10">
        <v>2000</v>
      </c>
      <c r="P10">
        <v>21.1</v>
      </c>
      <c r="Q10">
        <v>60.8</v>
      </c>
      <c r="R10">
        <v>121.7</v>
      </c>
      <c r="S10">
        <v>42.4</v>
      </c>
      <c r="T10">
        <v>74.3</v>
      </c>
      <c r="U10">
        <v>63.3</v>
      </c>
      <c r="V10">
        <v>158.6</v>
      </c>
      <c r="W10">
        <v>4.5</v>
      </c>
      <c r="X10">
        <v>90.4</v>
      </c>
      <c r="Y10">
        <v>280.60000000000002</v>
      </c>
      <c r="Z10">
        <v>210.9</v>
      </c>
      <c r="AA10">
        <v>167.3</v>
      </c>
    </row>
    <row r="11" spans="1:27" x14ac:dyDescent="0.25">
      <c r="A11">
        <v>2001</v>
      </c>
      <c r="B11">
        <v>3.9</v>
      </c>
      <c r="C11">
        <v>3.5</v>
      </c>
      <c r="D11">
        <v>9.8000000000000007</v>
      </c>
      <c r="E11">
        <v>9.4</v>
      </c>
      <c r="F11">
        <v>16.7</v>
      </c>
      <c r="G11">
        <v>17.7</v>
      </c>
      <c r="H11">
        <v>21</v>
      </c>
      <c r="I11">
        <v>21.5</v>
      </c>
      <c r="J11">
        <v>13.7</v>
      </c>
      <c r="K11">
        <v>13.8</v>
      </c>
      <c r="L11">
        <v>2.8</v>
      </c>
      <c r="M11">
        <v>-1.7</v>
      </c>
      <c r="O11">
        <v>2001</v>
      </c>
      <c r="P11">
        <v>184.1</v>
      </c>
      <c r="Q11">
        <v>97.3</v>
      </c>
      <c r="R11">
        <v>215.2</v>
      </c>
      <c r="S11">
        <v>165.1</v>
      </c>
      <c r="T11">
        <v>70.5</v>
      </c>
      <c r="U11">
        <v>146.4</v>
      </c>
      <c r="V11">
        <v>38</v>
      </c>
      <c r="W11">
        <v>17.899999999999999</v>
      </c>
      <c r="X11">
        <v>331.3</v>
      </c>
      <c r="Y11">
        <v>65.3</v>
      </c>
      <c r="Z11">
        <v>212.9</v>
      </c>
      <c r="AA11">
        <v>105.9</v>
      </c>
    </row>
    <row r="12" spans="1:27" x14ac:dyDescent="0.25">
      <c r="A12">
        <v>2002</v>
      </c>
      <c r="B12" s="9">
        <v>0.9</v>
      </c>
      <c r="C12" s="9">
        <v>6.4</v>
      </c>
      <c r="D12" s="9">
        <v>8</v>
      </c>
      <c r="E12" s="9">
        <v>8.6999999999999993</v>
      </c>
      <c r="F12" s="9">
        <v>16.399999999999999</v>
      </c>
      <c r="G12" s="9">
        <v>19.8</v>
      </c>
      <c r="H12" s="9">
        <v>20.3</v>
      </c>
      <c r="I12" s="9">
        <v>19.7</v>
      </c>
      <c r="J12" s="9">
        <v>13.6</v>
      </c>
      <c r="K12" s="9">
        <v>11.4</v>
      </c>
      <c r="L12" s="9">
        <v>9.6</v>
      </c>
      <c r="M12" s="9">
        <v>1.7</v>
      </c>
      <c r="O12">
        <v>2002</v>
      </c>
      <c r="P12" s="22">
        <v>37</v>
      </c>
      <c r="Q12" s="22">
        <v>131</v>
      </c>
      <c r="R12" s="22">
        <v>20</v>
      </c>
      <c r="S12" s="22">
        <v>288</v>
      </c>
      <c r="T12" s="22">
        <v>114</v>
      </c>
      <c r="U12" s="22">
        <v>55</v>
      </c>
      <c r="V12" s="22">
        <v>106</v>
      </c>
      <c r="W12" s="22">
        <v>171</v>
      </c>
      <c r="X12" s="22">
        <v>198</v>
      </c>
      <c r="Y12" s="22">
        <v>170</v>
      </c>
      <c r="Z12" s="22">
        <v>125</v>
      </c>
      <c r="AA12" s="22">
        <v>212</v>
      </c>
    </row>
    <row r="13" spans="1:27" x14ac:dyDescent="0.25">
      <c r="A13">
        <v>2003</v>
      </c>
      <c r="B13" s="9">
        <v>-0.4</v>
      </c>
      <c r="C13" s="9">
        <v>-2.4</v>
      </c>
      <c r="D13" s="9">
        <v>6.2</v>
      </c>
      <c r="E13" s="9">
        <v>9.5</v>
      </c>
      <c r="F13" s="9">
        <v>17.899999999999999</v>
      </c>
      <c r="G13" s="9">
        <v>22</v>
      </c>
      <c r="H13" s="9">
        <v>21.9</v>
      </c>
      <c r="I13" s="9">
        <v>23.7</v>
      </c>
      <c r="J13" s="9">
        <v>14.3</v>
      </c>
      <c r="K13" s="9">
        <v>9</v>
      </c>
      <c r="L13" s="9">
        <v>8.1999999999999993</v>
      </c>
      <c r="M13" s="9">
        <v>2.1</v>
      </c>
      <c r="O13">
        <v>2003</v>
      </c>
      <c r="P13" s="22">
        <v>186.8</v>
      </c>
      <c r="Q13" s="22">
        <v>85.4</v>
      </c>
      <c r="R13" s="22">
        <v>22.4</v>
      </c>
      <c r="S13" s="22">
        <v>86.9</v>
      </c>
      <c r="T13" s="22">
        <v>79.7</v>
      </c>
      <c r="U13" s="22">
        <v>90.1</v>
      </c>
      <c r="V13" s="22">
        <v>32.299999999999997</v>
      </c>
      <c r="W13" s="22">
        <v>41.9</v>
      </c>
      <c r="X13" s="22">
        <v>162.19999999999999</v>
      </c>
      <c r="Y13" s="22">
        <v>220.7</v>
      </c>
      <c r="Z13" s="22">
        <v>86.2</v>
      </c>
      <c r="AA13" s="22">
        <v>63.3</v>
      </c>
    </row>
    <row r="14" spans="1:27" x14ac:dyDescent="0.25">
      <c r="A14">
        <v>2004</v>
      </c>
      <c r="B14" s="11">
        <v>-0.4</v>
      </c>
      <c r="C14" s="11">
        <v>2.5</v>
      </c>
      <c r="D14" s="11">
        <v>3.5</v>
      </c>
      <c r="E14" s="11">
        <v>10.1</v>
      </c>
      <c r="F14" s="11">
        <v>13.5</v>
      </c>
      <c r="G14" s="11">
        <v>17.8</v>
      </c>
      <c r="H14" s="11">
        <v>19.899999999999999</v>
      </c>
      <c r="I14" s="11">
        <v>20</v>
      </c>
      <c r="J14" s="11">
        <v>14.5</v>
      </c>
      <c r="K14" s="11">
        <v>13.2</v>
      </c>
      <c r="L14" s="11">
        <v>6.2</v>
      </c>
      <c r="M14" s="11">
        <v>1.2</v>
      </c>
      <c r="O14">
        <v>2004</v>
      </c>
      <c r="P14">
        <v>143.1</v>
      </c>
      <c r="Q14">
        <v>171.6</v>
      </c>
      <c r="R14">
        <v>100.7</v>
      </c>
      <c r="S14">
        <v>260.39999999999998</v>
      </c>
      <c r="T14">
        <v>103.4</v>
      </c>
      <c r="U14">
        <v>117.3</v>
      </c>
      <c r="V14">
        <v>82</v>
      </c>
      <c r="W14">
        <v>94.4</v>
      </c>
      <c r="X14">
        <v>141.30000000000001</v>
      </c>
      <c r="Y14">
        <v>227.1</v>
      </c>
      <c r="Z14">
        <v>87.3</v>
      </c>
      <c r="AA14">
        <v>133.19999999999999</v>
      </c>
    </row>
    <row r="15" spans="1:27" x14ac:dyDescent="0.25">
      <c r="A15">
        <v>2005</v>
      </c>
      <c r="B15">
        <v>0.9</v>
      </c>
      <c r="C15">
        <v>-2.4</v>
      </c>
      <c r="D15">
        <v>4</v>
      </c>
      <c r="E15">
        <v>10.6</v>
      </c>
      <c r="F15">
        <v>15.2</v>
      </c>
      <c r="G15">
        <v>18.600000000000001</v>
      </c>
      <c r="H15">
        <v>20</v>
      </c>
      <c r="I15">
        <v>17.5</v>
      </c>
      <c r="J15">
        <v>15.6</v>
      </c>
      <c r="K15">
        <v>11.2</v>
      </c>
      <c r="L15">
        <v>5.3</v>
      </c>
      <c r="M15">
        <v>1.6</v>
      </c>
      <c r="O15">
        <v>2005</v>
      </c>
      <c r="P15">
        <v>91.5</v>
      </c>
      <c r="Q15">
        <v>129</v>
      </c>
      <c r="R15">
        <v>94.9</v>
      </c>
      <c r="S15">
        <v>160.4</v>
      </c>
      <c r="T15">
        <v>119.2</v>
      </c>
      <c r="U15">
        <v>83</v>
      </c>
      <c r="V15">
        <v>119.3</v>
      </c>
      <c r="W15">
        <v>261.10000000000002</v>
      </c>
      <c r="X15">
        <v>196.5</v>
      </c>
      <c r="Y15">
        <v>105.3</v>
      </c>
      <c r="Z15">
        <v>173.7</v>
      </c>
      <c r="AA15">
        <v>223.6</v>
      </c>
    </row>
    <row r="16" spans="1:27" x14ac:dyDescent="0.25">
      <c r="A16">
        <v>2006</v>
      </c>
      <c r="B16">
        <v>-2</v>
      </c>
      <c r="C16">
        <v>0.7</v>
      </c>
      <c r="D16">
        <v>4.5999999999999996</v>
      </c>
      <c r="E16">
        <v>10.8</v>
      </c>
      <c r="F16">
        <v>14.7</v>
      </c>
      <c r="G16">
        <v>18.7</v>
      </c>
      <c r="H16">
        <v>21.9</v>
      </c>
      <c r="I16">
        <v>17.399999999999999</v>
      </c>
      <c r="J16">
        <v>16.3</v>
      </c>
      <c r="K16">
        <v>13.1</v>
      </c>
      <c r="L16">
        <v>9.6</v>
      </c>
      <c r="M16">
        <v>5.2</v>
      </c>
      <c r="O16">
        <v>2006</v>
      </c>
      <c r="P16">
        <v>136</v>
      </c>
      <c r="Q16">
        <v>126.6</v>
      </c>
      <c r="R16">
        <v>139.1</v>
      </c>
      <c r="S16">
        <v>213.5</v>
      </c>
      <c r="T16">
        <v>160.5</v>
      </c>
      <c r="U16">
        <v>88</v>
      </c>
      <c r="V16">
        <v>34.700000000000003</v>
      </c>
      <c r="W16">
        <v>335.2</v>
      </c>
      <c r="X16">
        <v>75.5</v>
      </c>
      <c r="Y16">
        <v>16.600000000000001</v>
      </c>
      <c r="Z16">
        <v>122.8</v>
      </c>
      <c r="AA16">
        <v>72.5</v>
      </c>
    </row>
    <row r="17" spans="1:27" x14ac:dyDescent="0.25">
      <c r="A17">
        <v>2007</v>
      </c>
      <c r="B17">
        <v>6.3</v>
      </c>
      <c r="C17">
        <v>6.2</v>
      </c>
      <c r="D17">
        <v>7.8</v>
      </c>
      <c r="E17">
        <v>12.9</v>
      </c>
      <c r="F17">
        <v>16.399999999999999</v>
      </c>
      <c r="G17">
        <v>20.399999999999999</v>
      </c>
      <c r="H17">
        <v>21.1</v>
      </c>
      <c r="I17">
        <v>19.7</v>
      </c>
      <c r="J17">
        <v>13.5</v>
      </c>
      <c r="K17">
        <v>8.9</v>
      </c>
      <c r="L17">
        <v>4.5999999999999996</v>
      </c>
      <c r="M17">
        <v>-0.5</v>
      </c>
      <c r="O17">
        <v>2007</v>
      </c>
      <c r="P17">
        <v>150.9</v>
      </c>
      <c r="Q17">
        <v>132.19999999999999</v>
      </c>
      <c r="R17">
        <v>126.7</v>
      </c>
      <c r="S17">
        <v>12</v>
      </c>
      <c r="T17">
        <v>138.19999999999999</v>
      </c>
      <c r="U17">
        <v>121.4</v>
      </c>
      <c r="V17">
        <v>107</v>
      </c>
      <c r="W17">
        <v>118.2</v>
      </c>
      <c r="X17">
        <v>217.5</v>
      </c>
      <c r="Y17">
        <v>228.1</v>
      </c>
      <c r="Z17">
        <v>151.30000000000001</v>
      </c>
      <c r="AA17">
        <v>151.9</v>
      </c>
    </row>
    <row r="18" spans="1:27" x14ac:dyDescent="0.25">
      <c r="A18">
        <v>2008</v>
      </c>
      <c r="B18">
        <v>3.7</v>
      </c>
      <c r="C18">
        <v>5.3</v>
      </c>
      <c r="D18">
        <v>6</v>
      </c>
      <c r="E18">
        <v>10.6</v>
      </c>
      <c r="F18">
        <v>15.7</v>
      </c>
      <c r="G18">
        <v>19.600000000000001</v>
      </c>
      <c r="H18">
        <v>20.6</v>
      </c>
      <c r="I18">
        <v>19.899999999999999</v>
      </c>
      <c r="J18">
        <v>14.3</v>
      </c>
      <c r="K18">
        <v>12.4</v>
      </c>
      <c r="L18">
        <v>7.2</v>
      </c>
      <c r="M18">
        <v>2.4</v>
      </c>
      <c r="O18">
        <v>2008</v>
      </c>
      <c r="P18">
        <v>73.900000000000006</v>
      </c>
      <c r="Q18">
        <v>38.6</v>
      </c>
      <c r="R18">
        <v>202.3</v>
      </c>
      <c r="S18">
        <v>102.5</v>
      </c>
      <c r="T18">
        <v>87.7</v>
      </c>
      <c r="U18">
        <v>133.5</v>
      </c>
      <c r="V18">
        <v>111.3</v>
      </c>
      <c r="W18">
        <v>57.4</v>
      </c>
      <c r="X18">
        <v>102.2</v>
      </c>
      <c r="Y18">
        <v>101.9</v>
      </c>
      <c r="Z18">
        <v>203</v>
      </c>
      <c r="AA18">
        <v>272.60000000000002</v>
      </c>
    </row>
    <row r="19" spans="1:27" x14ac:dyDescent="0.25">
      <c r="A19">
        <v>2009</v>
      </c>
      <c r="B19">
        <v>-1.7</v>
      </c>
      <c r="C19">
        <v>2.2000000000000002</v>
      </c>
      <c r="D19">
        <v>6.1</v>
      </c>
      <c r="E19">
        <v>13.1</v>
      </c>
      <c r="F19">
        <v>17.2</v>
      </c>
      <c r="G19">
        <v>18.5</v>
      </c>
      <c r="H19">
        <v>21.3</v>
      </c>
      <c r="I19">
        <v>21.1</v>
      </c>
      <c r="J19">
        <v>16.8</v>
      </c>
      <c r="K19">
        <v>10.6</v>
      </c>
      <c r="L19">
        <v>8.8000000000000007</v>
      </c>
      <c r="M19">
        <v>3.3</v>
      </c>
      <c r="O19">
        <v>2009</v>
      </c>
      <c r="P19">
        <v>150.9</v>
      </c>
      <c r="Q19">
        <v>119.9</v>
      </c>
      <c r="R19">
        <v>138.6</v>
      </c>
      <c r="S19">
        <v>193.3</v>
      </c>
      <c r="T19">
        <v>40.799999999999997</v>
      </c>
      <c r="U19">
        <v>72.900000000000006</v>
      </c>
      <c r="V19">
        <v>83.1</v>
      </c>
      <c r="W19">
        <v>57.4</v>
      </c>
      <c r="X19">
        <v>61.6</v>
      </c>
      <c r="Y19">
        <v>165.7</v>
      </c>
      <c r="Z19">
        <v>120.4</v>
      </c>
      <c r="AA19">
        <v>256.5</v>
      </c>
    </row>
    <row r="20" spans="1:27" x14ac:dyDescent="0.25">
      <c r="A20">
        <v>2010</v>
      </c>
      <c r="B20">
        <v>-1.9</v>
      </c>
      <c r="C20">
        <v>1.7</v>
      </c>
      <c r="D20">
        <v>5.7</v>
      </c>
      <c r="E20">
        <v>10.7</v>
      </c>
      <c r="F20">
        <v>14.9</v>
      </c>
      <c r="G20">
        <v>19</v>
      </c>
      <c r="H20">
        <v>21.8</v>
      </c>
      <c r="I20">
        <v>19.2</v>
      </c>
      <c r="J20">
        <v>13.6</v>
      </c>
      <c r="K20">
        <v>9</v>
      </c>
      <c r="L20">
        <v>8.6999999999999993</v>
      </c>
      <c r="M20">
        <v>0.1</v>
      </c>
      <c r="O20">
        <v>2010</v>
      </c>
      <c r="P20">
        <v>193.6</v>
      </c>
      <c r="Q20">
        <v>157.1</v>
      </c>
      <c r="R20">
        <v>106.2</v>
      </c>
      <c r="S20">
        <v>101.8</v>
      </c>
      <c r="T20">
        <v>197.6</v>
      </c>
      <c r="U20">
        <v>179.9</v>
      </c>
      <c r="V20">
        <v>88</v>
      </c>
      <c r="W20">
        <v>121.3</v>
      </c>
      <c r="X20">
        <v>203.1</v>
      </c>
      <c r="Y20">
        <v>105.2</v>
      </c>
      <c r="Z20">
        <v>188.1</v>
      </c>
      <c r="AA20">
        <v>203.3</v>
      </c>
    </row>
    <row r="21" spans="1:27" x14ac:dyDescent="0.25">
      <c r="A21">
        <v>2011</v>
      </c>
      <c r="B21">
        <v>1.8</v>
      </c>
      <c r="C21">
        <v>0.7</v>
      </c>
      <c r="D21">
        <v>5.9</v>
      </c>
      <c r="E21">
        <v>12.2</v>
      </c>
      <c r="F21">
        <v>15.1</v>
      </c>
      <c r="G21">
        <v>19.100000000000001</v>
      </c>
      <c r="H21">
        <v>20.6</v>
      </c>
      <c r="I21">
        <v>21</v>
      </c>
      <c r="J21">
        <v>17.8</v>
      </c>
      <c r="K21">
        <v>9.3000000000000007</v>
      </c>
      <c r="L21">
        <v>3.1</v>
      </c>
      <c r="M21">
        <v>3.9</v>
      </c>
      <c r="O21">
        <v>2011</v>
      </c>
      <c r="P21">
        <v>70.7</v>
      </c>
      <c r="Q21">
        <v>38</v>
      </c>
      <c r="R21">
        <v>64.2</v>
      </c>
      <c r="S21">
        <v>83.7</v>
      </c>
      <c r="T21">
        <v>111.3</v>
      </c>
      <c r="U21">
        <v>126.8</v>
      </c>
      <c r="V21">
        <v>138.4</v>
      </c>
      <c r="W21">
        <v>49.4</v>
      </c>
      <c r="X21">
        <v>74.599999999999994</v>
      </c>
      <c r="Y21">
        <v>150.4</v>
      </c>
      <c r="Z21">
        <v>10.4</v>
      </c>
      <c r="AA21">
        <v>223</v>
      </c>
    </row>
    <row r="22" spans="1:27" x14ac:dyDescent="0.25">
      <c r="A22">
        <v>2012</v>
      </c>
      <c r="B22">
        <v>1.9</v>
      </c>
      <c r="C22">
        <v>-3.3</v>
      </c>
      <c r="D22">
        <v>8.4</v>
      </c>
      <c r="E22">
        <v>11.3</v>
      </c>
      <c r="F22">
        <v>14.8</v>
      </c>
      <c r="G22">
        <v>21.3</v>
      </c>
      <c r="H22">
        <v>22.5</v>
      </c>
      <c r="I22">
        <v>22.4</v>
      </c>
      <c r="J22">
        <v>16</v>
      </c>
      <c r="K22">
        <v>11.1</v>
      </c>
      <c r="L22">
        <v>9.1999999999999993</v>
      </c>
      <c r="M22">
        <v>1.7</v>
      </c>
      <c r="O22">
        <v>2012</v>
      </c>
      <c r="P22">
        <v>32.9</v>
      </c>
      <c r="Q22">
        <v>96.2</v>
      </c>
      <c r="R22">
        <v>4</v>
      </c>
      <c r="S22">
        <v>97.6</v>
      </c>
      <c r="T22">
        <v>185.7</v>
      </c>
      <c r="U22">
        <v>65.2</v>
      </c>
      <c r="V22">
        <v>55.2</v>
      </c>
      <c r="W22">
        <v>47.1</v>
      </c>
      <c r="X22">
        <v>306.89999999999998</v>
      </c>
      <c r="Y22">
        <v>161.80000000000001</v>
      </c>
      <c r="Z22">
        <v>236.6</v>
      </c>
      <c r="AA22">
        <v>159.19999999999999</v>
      </c>
    </row>
    <row r="23" spans="1:27" x14ac:dyDescent="0.25">
      <c r="A23">
        <v>2013</v>
      </c>
      <c r="B23">
        <v>1.6</v>
      </c>
      <c r="C23">
        <v>0.8</v>
      </c>
      <c r="D23">
        <v>2.7</v>
      </c>
      <c r="E23">
        <v>11.6</v>
      </c>
      <c r="F23">
        <v>14.3</v>
      </c>
      <c r="G23">
        <v>18.7</v>
      </c>
      <c r="H23">
        <v>21.5</v>
      </c>
      <c r="I23">
        <v>21</v>
      </c>
      <c r="J23">
        <v>14.8</v>
      </c>
      <c r="K23">
        <v>12.8</v>
      </c>
      <c r="L23">
        <v>6.7</v>
      </c>
      <c r="M23">
        <v>3.7</v>
      </c>
      <c r="O23">
        <v>2013</v>
      </c>
      <c r="P23">
        <v>280.5</v>
      </c>
      <c r="Q23">
        <v>242.1</v>
      </c>
      <c r="R23">
        <v>238.6</v>
      </c>
      <c r="S23">
        <v>88.2</v>
      </c>
      <c r="T23">
        <v>161.9</v>
      </c>
      <c r="U23">
        <v>55</v>
      </c>
      <c r="V23">
        <v>56.9</v>
      </c>
      <c r="W23">
        <v>78.400000000000006</v>
      </c>
      <c r="X23">
        <v>159.6</v>
      </c>
      <c r="Y23">
        <v>64.8</v>
      </c>
      <c r="Z23">
        <v>381.1</v>
      </c>
      <c r="AA23">
        <v>47.6</v>
      </c>
    </row>
    <row r="24" spans="1:27" x14ac:dyDescent="0.25">
      <c r="A24">
        <v>2014</v>
      </c>
      <c r="B24">
        <v>5.5</v>
      </c>
      <c r="C24">
        <v>4.8</v>
      </c>
      <c r="D24">
        <v>8.8000000000000007</v>
      </c>
      <c r="E24">
        <v>12</v>
      </c>
      <c r="F24">
        <v>14.4</v>
      </c>
      <c r="G24">
        <v>18.5</v>
      </c>
      <c r="H24">
        <v>20</v>
      </c>
      <c r="I24">
        <v>18.899999999999999</v>
      </c>
      <c r="J24">
        <v>15</v>
      </c>
      <c r="K24">
        <v>13</v>
      </c>
      <c r="L24">
        <v>8.5</v>
      </c>
      <c r="M24">
        <v>4.4000000000000004</v>
      </c>
      <c r="O24">
        <v>2014</v>
      </c>
      <c r="P24">
        <v>157.19999999999999</v>
      </c>
      <c r="Q24">
        <v>262.89999999999998</v>
      </c>
      <c r="R24">
        <v>59.4</v>
      </c>
      <c r="S24">
        <v>209.8</v>
      </c>
      <c r="T24">
        <v>161.9</v>
      </c>
      <c r="U24">
        <v>153.19999999999999</v>
      </c>
      <c r="V24">
        <v>209.6</v>
      </c>
      <c r="W24">
        <v>182.2</v>
      </c>
      <c r="X24">
        <v>344.4</v>
      </c>
      <c r="Y24">
        <v>229</v>
      </c>
      <c r="Z24">
        <v>151.69999999999999</v>
      </c>
      <c r="AA24">
        <v>134.6</v>
      </c>
    </row>
    <row r="25" spans="1:27" x14ac:dyDescent="0.25">
      <c r="A25">
        <v>2015</v>
      </c>
      <c r="B25">
        <v>3.7</v>
      </c>
      <c r="C25">
        <v>0.9</v>
      </c>
      <c r="D25">
        <v>6.5</v>
      </c>
      <c r="E25">
        <v>10.6</v>
      </c>
      <c r="F25">
        <v>16.100000000000001</v>
      </c>
      <c r="G25">
        <v>19.2</v>
      </c>
      <c r="H25">
        <v>22.9</v>
      </c>
      <c r="I25">
        <v>21.2</v>
      </c>
      <c r="J25">
        <v>15.7</v>
      </c>
      <c r="K25">
        <v>10.199999999999999</v>
      </c>
      <c r="L25">
        <v>7.8</v>
      </c>
      <c r="M25">
        <v>3.9</v>
      </c>
      <c r="O25">
        <v>2015</v>
      </c>
      <c r="P25">
        <v>141.30000000000001</v>
      </c>
      <c r="Q25">
        <v>185.3</v>
      </c>
      <c r="R25">
        <v>79.099999999999994</v>
      </c>
      <c r="S25">
        <v>73.900000000000006</v>
      </c>
      <c r="T25">
        <v>179.2</v>
      </c>
      <c r="U25">
        <v>66.2</v>
      </c>
      <c r="V25">
        <v>47.8</v>
      </c>
      <c r="W25">
        <v>117.2</v>
      </c>
      <c r="X25">
        <v>139.30000000000001</v>
      </c>
      <c r="Y25">
        <v>305.5</v>
      </c>
      <c r="Z25">
        <v>78.5</v>
      </c>
      <c r="AA25">
        <v>0.7</v>
      </c>
    </row>
    <row r="26" spans="1:27" x14ac:dyDescent="0.25">
      <c r="A26">
        <v>2016</v>
      </c>
      <c r="B26" s="7">
        <v>2.4</v>
      </c>
      <c r="C26" s="7">
        <v>6.3</v>
      </c>
      <c r="D26" s="7">
        <v>6.3</v>
      </c>
      <c r="E26" s="7">
        <v>11.6</v>
      </c>
      <c r="F26" s="7">
        <v>14.7</v>
      </c>
      <c r="G26" s="7">
        <v>19.3</v>
      </c>
      <c r="H26" s="7">
        <v>22</v>
      </c>
      <c r="I26" s="7">
        <v>18.600000000000001</v>
      </c>
      <c r="J26" s="7">
        <v>16.5</v>
      </c>
      <c r="K26" s="7">
        <v>9.5</v>
      </c>
      <c r="L26" s="7">
        <v>7</v>
      </c>
      <c r="M26" s="7">
        <v>0.3</v>
      </c>
      <c r="O26">
        <v>2016</v>
      </c>
      <c r="P26">
        <v>157.80000000000001</v>
      </c>
      <c r="Q26">
        <v>277.7</v>
      </c>
      <c r="R26">
        <v>168</v>
      </c>
      <c r="S26">
        <v>86.8</v>
      </c>
      <c r="T26">
        <v>210</v>
      </c>
      <c r="U26">
        <v>154.69999999999999</v>
      </c>
      <c r="V26">
        <v>69.400000000000006</v>
      </c>
      <c r="W26">
        <v>143.6</v>
      </c>
      <c r="X26">
        <v>123.4</v>
      </c>
      <c r="Y26">
        <v>194.2</v>
      </c>
      <c r="Z26">
        <v>227</v>
      </c>
      <c r="AA26">
        <v>3.5</v>
      </c>
    </row>
    <row r="27" spans="1:27" x14ac:dyDescent="0.25">
      <c r="A27">
        <v>2017</v>
      </c>
      <c r="B27">
        <v>-3.7</v>
      </c>
      <c r="C27">
        <v>4.9000000000000004</v>
      </c>
      <c r="D27">
        <v>9.1</v>
      </c>
      <c r="E27">
        <v>10.8</v>
      </c>
      <c r="F27">
        <v>15.6</v>
      </c>
      <c r="G27">
        <v>21.1</v>
      </c>
      <c r="H27">
        <v>22.5</v>
      </c>
      <c r="I27">
        <v>22</v>
      </c>
      <c r="J27">
        <v>13.7</v>
      </c>
      <c r="K27">
        <v>11.2</v>
      </c>
      <c r="L27">
        <v>6.9</v>
      </c>
      <c r="M27">
        <v>4</v>
      </c>
      <c r="O27">
        <v>2017</v>
      </c>
      <c r="P27">
        <v>98.7</v>
      </c>
      <c r="Q27">
        <v>135.4</v>
      </c>
      <c r="R27">
        <v>64.7</v>
      </c>
      <c r="S27">
        <v>117.5</v>
      </c>
      <c r="T27">
        <v>87.3</v>
      </c>
      <c r="U27">
        <v>100.4</v>
      </c>
      <c r="V27">
        <v>37.799999999999997</v>
      </c>
      <c r="W27">
        <v>59.2</v>
      </c>
      <c r="X27">
        <v>369.2</v>
      </c>
      <c r="Y27">
        <v>70.3</v>
      </c>
      <c r="Z27">
        <v>277.10000000000002</v>
      </c>
      <c r="AA27">
        <v>214.2</v>
      </c>
    </row>
    <row r="28" spans="1:27" x14ac:dyDescent="0.25">
      <c r="A28">
        <v>2018</v>
      </c>
      <c r="B28">
        <v>5.6</v>
      </c>
      <c r="C28">
        <v>-1.5</v>
      </c>
      <c r="D28">
        <v>3.7</v>
      </c>
      <c r="E28">
        <v>14.4</v>
      </c>
      <c r="F28">
        <v>17.399999999999999</v>
      </c>
      <c r="G28">
        <v>19.399999999999999</v>
      </c>
      <c r="H28">
        <v>20.7</v>
      </c>
      <c r="I28">
        <v>21.2</v>
      </c>
      <c r="J28">
        <v>15.8</v>
      </c>
      <c r="K28">
        <v>12.3</v>
      </c>
      <c r="L28">
        <v>7</v>
      </c>
      <c r="M28">
        <v>2.9</v>
      </c>
      <c r="O28">
        <v>2018</v>
      </c>
      <c r="P28">
        <v>141.5</v>
      </c>
      <c r="Q28">
        <v>279.10000000000002</v>
      </c>
      <c r="R28">
        <v>123.2</v>
      </c>
      <c r="S28">
        <v>67.599999999999994</v>
      </c>
      <c r="T28">
        <v>54.5</v>
      </c>
      <c r="U28">
        <v>128.5</v>
      </c>
      <c r="V28">
        <v>116.1</v>
      </c>
      <c r="W28">
        <v>87.1</v>
      </c>
      <c r="X28">
        <v>85.2</v>
      </c>
      <c r="Y28">
        <v>88</v>
      </c>
      <c r="Z28">
        <v>114.2</v>
      </c>
      <c r="AA28">
        <v>99.3</v>
      </c>
    </row>
    <row r="29" spans="1:27" x14ac:dyDescent="0.25">
      <c r="A29">
        <v>2019</v>
      </c>
      <c r="B29">
        <v>0.7</v>
      </c>
      <c r="C29">
        <v>4.5</v>
      </c>
      <c r="D29">
        <v>8.6999999999999993</v>
      </c>
      <c r="E29">
        <v>10.8</v>
      </c>
      <c r="F29">
        <v>12.4</v>
      </c>
      <c r="G29">
        <v>21.6</v>
      </c>
      <c r="H29">
        <v>21.4</v>
      </c>
      <c r="I29">
        <v>21.5</v>
      </c>
      <c r="J29">
        <v>15.6</v>
      </c>
      <c r="K29">
        <v>13</v>
      </c>
      <c r="L29">
        <v>8.6</v>
      </c>
      <c r="M29">
        <v>4.5999999999999996</v>
      </c>
      <c r="O29">
        <v>2019</v>
      </c>
      <c r="P29">
        <v>99.1</v>
      </c>
      <c r="Q29">
        <v>33</v>
      </c>
      <c r="R29">
        <v>93.7</v>
      </c>
      <c r="S29">
        <v>167.4</v>
      </c>
      <c r="T29">
        <v>319.2</v>
      </c>
      <c r="U29">
        <v>139.5</v>
      </c>
      <c r="V29">
        <v>109.4</v>
      </c>
      <c r="W29">
        <v>54.6</v>
      </c>
      <c r="X29">
        <v>143.6</v>
      </c>
      <c r="Y29">
        <v>64.2</v>
      </c>
      <c r="Z29">
        <v>212.1</v>
      </c>
      <c r="AA29">
        <v>178.4</v>
      </c>
    </row>
    <row r="30" spans="1:27" x14ac:dyDescent="0.25">
      <c r="A30">
        <v>2020</v>
      </c>
      <c r="B30">
        <v>2.8</v>
      </c>
      <c r="C30">
        <v>6.8</v>
      </c>
      <c r="D30">
        <v>6.9</v>
      </c>
      <c r="E30">
        <v>11.8</v>
      </c>
      <c r="F30">
        <v>14.1</v>
      </c>
      <c r="G30">
        <v>18.8</v>
      </c>
      <c r="H30">
        <v>20.399999999999999</v>
      </c>
      <c r="I30">
        <v>21.5</v>
      </c>
      <c r="J30">
        <v>16.100000000000001</v>
      </c>
      <c r="K30">
        <v>11.5</v>
      </c>
      <c r="L30">
        <v>4.9000000000000004</v>
      </c>
      <c r="M30">
        <v>3.1</v>
      </c>
      <c r="O30">
        <v>2020</v>
      </c>
      <c r="P30">
        <v>20.6</v>
      </c>
      <c r="Q30">
        <v>74.599999999999994</v>
      </c>
      <c r="R30">
        <v>98.4</v>
      </c>
      <c r="S30">
        <v>26.5</v>
      </c>
      <c r="T30">
        <v>139.19999999999999</v>
      </c>
      <c r="U30">
        <v>95.2</v>
      </c>
      <c r="V30">
        <v>108.8</v>
      </c>
      <c r="W30">
        <v>73.3</v>
      </c>
      <c r="X30">
        <v>196.8</v>
      </c>
      <c r="Y30">
        <v>258.60000000000002</v>
      </c>
      <c r="Z30">
        <v>82.6</v>
      </c>
      <c r="AA30">
        <v>192.5</v>
      </c>
    </row>
    <row r="31" spans="1:27" x14ac:dyDescent="0.25">
      <c r="A31">
        <v>2021</v>
      </c>
      <c r="B31">
        <v>1.6</v>
      </c>
      <c r="C31">
        <v>5.9</v>
      </c>
      <c r="D31">
        <v>5.5</v>
      </c>
      <c r="E31">
        <v>8.1999999999999993</v>
      </c>
      <c r="F31">
        <v>13.6</v>
      </c>
      <c r="G31">
        <v>21.3</v>
      </c>
      <c r="H31">
        <v>22.4</v>
      </c>
      <c r="I31">
        <v>19.899999999999999</v>
      </c>
      <c r="J31">
        <v>16</v>
      </c>
      <c r="K31">
        <v>8.8000000000000007</v>
      </c>
      <c r="L31">
        <v>6</v>
      </c>
      <c r="M31">
        <v>3.2</v>
      </c>
      <c r="O31">
        <v>2021</v>
      </c>
      <c r="P31">
        <v>186.7</v>
      </c>
      <c r="Q31">
        <v>94.2</v>
      </c>
      <c r="R31">
        <v>76</v>
      </c>
      <c r="S31">
        <v>129.19999999999999</v>
      </c>
      <c r="T31">
        <v>179.9</v>
      </c>
      <c r="U31">
        <v>8.1999999999999993</v>
      </c>
      <c r="V31">
        <v>113.3</v>
      </c>
      <c r="W31">
        <v>50.4</v>
      </c>
      <c r="X31">
        <v>118.5</v>
      </c>
      <c r="Y31">
        <v>253.1</v>
      </c>
      <c r="Z31">
        <v>144.1</v>
      </c>
      <c r="AA31">
        <v>165.1</v>
      </c>
    </row>
    <row r="32" spans="1:27" x14ac:dyDescent="0.25">
      <c r="A32">
        <v>2022</v>
      </c>
      <c r="B32">
        <v>1.4</v>
      </c>
      <c r="C32">
        <v>4.8</v>
      </c>
      <c r="D32">
        <v>5.0999999999999996</v>
      </c>
      <c r="E32">
        <v>9.6999999999999993</v>
      </c>
      <c r="F32">
        <v>17.3</v>
      </c>
      <c r="G32">
        <v>22</v>
      </c>
      <c r="H32">
        <v>22.1</v>
      </c>
      <c r="I32">
        <v>21.5</v>
      </c>
      <c r="J32">
        <v>15.2</v>
      </c>
      <c r="K32">
        <v>13.6</v>
      </c>
      <c r="L32">
        <v>7.5</v>
      </c>
      <c r="M32">
        <v>4.7</v>
      </c>
      <c r="O32">
        <v>2022</v>
      </c>
      <c r="P32">
        <v>53.9</v>
      </c>
      <c r="Q32">
        <v>99.7</v>
      </c>
      <c r="R32">
        <v>15.7</v>
      </c>
      <c r="S32">
        <v>128.69999999999999</v>
      </c>
      <c r="T32">
        <v>144.1</v>
      </c>
      <c r="U32">
        <v>62.4</v>
      </c>
      <c r="V32">
        <v>61.2</v>
      </c>
      <c r="W32">
        <v>31.6</v>
      </c>
      <c r="X32">
        <v>362.2</v>
      </c>
      <c r="Y32">
        <v>49</v>
      </c>
      <c r="Z32">
        <v>223.2</v>
      </c>
      <c r="AA32">
        <v>255.6</v>
      </c>
    </row>
    <row r="33" spans="1:27" x14ac:dyDescent="0.25">
      <c r="A33">
        <v>2023</v>
      </c>
      <c r="B33">
        <v>4.0999999999999996</v>
      </c>
      <c r="C33">
        <v>3.2</v>
      </c>
      <c r="D33">
        <v>7.5</v>
      </c>
      <c r="E33">
        <v>9.1999999999999993</v>
      </c>
      <c r="F33">
        <v>14.5</v>
      </c>
      <c r="G33">
        <v>19.899999999999999</v>
      </c>
      <c r="H33">
        <v>22.7</v>
      </c>
      <c r="I33">
        <v>20.7</v>
      </c>
      <c r="J33">
        <v>18</v>
      </c>
      <c r="K33">
        <v>15.6</v>
      </c>
      <c r="L33">
        <v>8.3000000000000007</v>
      </c>
      <c r="M33">
        <v>6.5</v>
      </c>
      <c r="O33">
        <v>2023</v>
      </c>
      <c r="P33">
        <v>297.2</v>
      </c>
      <c r="Q33">
        <v>66.3</v>
      </c>
      <c r="R33">
        <v>122.8</v>
      </c>
      <c r="S33">
        <v>181.6</v>
      </c>
      <c r="T33">
        <v>324.2</v>
      </c>
      <c r="U33">
        <v>110.8</v>
      </c>
      <c r="V33">
        <v>92.8</v>
      </c>
      <c r="W33">
        <v>154.69999999999999</v>
      </c>
      <c r="X33">
        <v>91.4</v>
      </c>
      <c r="Y33">
        <v>152</v>
      </c>
      <c r="Z33">
        <v>279.7</v>
      </c>
      <c r="AA33">
        <v>164.6</v>
      </c>
    </row>
    <row r="34" spans="1:27" x14ac:dyDescent="0.25">
      <c r="A34">
        <v>2024</v>
      </c>
      <c r="B34">
        <v>2.8</v>
      </c>
      <c r="C34">
        <v>8.6</v>
      </c>
      <c r="D34">
        <v>9.8000000000000007</v>
      </c>
      <c r="E34">
        <v>12.5</v>
      </c>
      <c r="F34">
        <v>16.2</v>
      </c>
      <c r="G34">
        <v>20.9</v>
      </c>
      <c r="H34">
        <v>23.5</v>
      </c>
      <c r="I34">
        <v>23.5</v>
      </c>
      <c r="J34">
        <v>16.3</v>
      </c>
      <c r="K34">
        <v>12.8</v>
      </c>
      <c r="L34">
        <v>5.5</v>
      </c>
      <c r="M34">
        <v>2.2999999999999998</v>
      </c>
      <c r="O34">
        <v>2024</v>
      </c>
      <c r="P34">
        <v>149</v>
      </c>
      <c r="Q34">
        <v>50.6</v>
      </c>
      <c r="R34">
        <v>138.19999999999999</v>
      </c>
      <c r="S34">
        <v>77</v>
      </c>
      <c r="T34">
        <v>158.80000000000001</v>
      </c>
      <c r="U34">
        <v>165.4</v>
      </c>
      <c r="V34">
        <v>121.1</v>
      </c>
      <c r="W34">
        <v>94.5</v>
      </c>
      <c r="X34">
        <v>258.5</v>
      </c>
      <c r="Y34">
        <v>175.6</v>
      </c>
      <c r="Z34">
        <v>163.19999999999999</v>
      </c>
      <c r="AA34">
        <v>129.4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5E55-A9DA-4315-AFE0-182EE1EDBFB7}">
  <dimension ref="A1:AA40"/>
  <sheetViews>
    <sheetView topLeftCell="A17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0.8666666666666667</v>
      </c>
      <c r="C2" s="4">
        <f t="shared" ref="C2:L2" si="0">AVERAGE(C5:C46)</f>
        <v>3.0799999999999996</v>
      </c>
      <c r="D2" s="4">
        <f t="shared" si="0"/>
        <v>7.0066666666666659</v>
      </c>
      <c r="E2" s="4">
        <f t="shared" si="0"/>
        <v>12.293333333333333</v>
      </c>
      <c r="F2" s="4">
        <f t="shared" si="0"/>
        <v>17.233333333333334</v>
      </c>
      <c r="G2" s="4">
        <f t="shared" si="0"/>
        <v>21.073333333333331</v>
      </c>
      <c r="H2" s="4">
        <f t="shared" si="0"/>
        <v>22.73</v>
      </c>
      <c r="I2" s="4">
        <f t="shared" si="0"/>
        <v>22.256666666666664</v>
      </c>
      <c r="J2" s="4">
        <f t="shared" si="0"/>
        <v>16.966666666666665</v>
      </c>
      <c r="K2" s="4">
        <f t="shared" si="0"/>
        <v>12.093333333333332</v>
      </c>
      <c r="L2" s="4">
        <f t="shared" si="0"/>
        <v>6.7333333333333343</v>
      </c>
      <c r="M2" s="4">
        <f>AVERAGE(M5:M46)</f>
        <v>1.8999999999999997</v>
      </c>
      <c r="O2" s="30"/>
      <c r="P2" s="4">
        <f>AVERAGE(P5:P46)</f>
        <v>46.669999999999995</v>
      </c>
      <c r="Q2" s="4">
        <f t="shared" ref="Q2:Z2" si="1">AVERAGE(Q5:Q46)</f>
        <v>42.99</v>
      </c>
      <c r="R2" s="4">
        <f t="shared" si="1"/>
        <v>40.863333333333344</v>
      </c>
      <c r="S2" s="4">
        <f t="shared" si="1"/>
        <v>51.536666666666669</v>
      </c>
      <c r="T2" s="4">
        <f t="shared" si="1"/>
        <v>77.410000000000011</v>
      </c>
      <c r="U2" s="4">
        <f t="shared" si="1"/>
        <v>80.233333333333348</v>
      </c>
      <c r="V2" s="4">
        <f t="shared" si="1"/>
        <v>63.646666666666661</v>
      </c>
      <c r="W2" s="4">
        <f t="shared" si="1"/>
        <v>64.289999999999992</v>
      </c>
      <c r="X2" s="4">
        <f t="shared" si="1"/>
        <v>68.983333333333334</v>
      </c>
      <c r="Y2" s="4">
        <f t="shared" si="1"/>
        <v>55.930000000000014</v>
      </c>
      <c r="Z2" s="4">
        <f t="shared" si="1"/>
        <v>57.273333333333319</v>
      </c>
      <c r="AA2" s="4">
        <f>AVERAGE(AA5:AA46)</f>
        <v>54.680000000000014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-0.1</v>
      </c>
      <c r="C5" s="2">
        <v>6.1</v>
      </c>
      <c r="D5" s="2">
        <v>5.4</v>
      </c>
      <c r="E5" s="2">
        <v>11.7</v>
      </c>
      <c r="F5" s="2">
        <v>15.5</v>
      </c>
      <c r="G5" s="2">
        <v>18.7</v>
      </c>
      <c r="H5" s="2">
        <v>23.5</v>
      </c>
      <c r="I5" s="2">
        <v>20.2</v>
      </c>
      <c r="J5" s="2">
        <v>15</v>
      </c>
      <c r="K5" s="2">
        <v>12.1</v>
      </c>
      <c r="L5" s="2">
        <v>3.6</v>
      </c>
      <c r="M5" s="2">
        <v>1.4</v>
      </c>
      <c r="O5">
        <v>1995</v>
      </c>
      <c r="P5" s="7">
        <v>70.900000000000006</v>
      </c>
      <c r="Q5" s="7">
        <v>52.7</v>
      </c>
      <c r="R5" s="7">
        <v>44.5</v>
      </c>
      <c r="S5" s="7">
        <v>52.2</v>
      </c>
      <c r="T5" s="7">
        <v>96.4</v>
      </c>
      <c r="U5" s="7">
        <v>105.5</v>
      </c>
      <c r="V5" s="7">
        <v>26.7</v>
      </c>
      <c r="W5" s="7">
        <v>85.6</v>
      </c>
      <c r="X5" s="7">
        <v>123.2</v>
      </c>
      <c r="Y5" s="7">
        <v>5.8</v>
      </c>
      <c r="Z5" s="7">
        <v>53.6</v>
      </c>
      <c r="AA5" s="7">
        <v>104.4</v>
      </c>
    </row>
    <row r="6" spans="1:27" x14ac:dyDescent="0.25">
      <c r="A6">
        <v>1996</v>
      </c>
      <c r="B6" s="2">
        <v>-1.1000000000000001</v>
      </c>
      <c r="C6" s="2">
        <v>-2.4</v>
      </c>
      <c r="D6" s="2">
        <v>2.9</v>
      </c>
      <c r="E6" s="2">
        <v>11.5</v>
      </c>
      <c r="F6" s="2">
        <v>18</v>
      </c>
      <c r="G6" s="2">
        <v>21.1</v>
      </c>
      <c r="H6" s="2">
        <v>19.899999999999999</v>
      </c>
      <c r="I6" s="2">
        <v>20.6</v>
      </c>
      <c r="J6" s="2">
        <v>13.1</v>
      </c>
      <c r="K6" s="2">
        <v>11.5</v>
      </c>
      <c r="L6" s="2">
        <v>8.1</v>
      </c>
      <c r="M6" s="2">
        <v>-0.3</v>
      </c>
      <c r="O6">
        <v>1996</v>
      </c>
      <c r="P6" s="7">
        <v>31</v>
      </c>
      <c r="Q6" s="7">
        <v>50.5</v>
      </c>
      <c r="R6" s="7">
        <v>41.6</v>
      </c>
      <c r="S6" s="7">
        <v>81.900000000000006</v>
      </c>
      <c r="T6" s="7">
        <v>78</v>
      </c>
      <c r="U6" s="7">
        <v>29.6</v>
      </c>
      <c r="V6" s="7">
        <v>94.9</v>
      </c>
      <c r="W6" s="7">
        <v>77.099999999999994</v>
      </c>
      <c r="X6" s="7">
        <v>157.1</v>
      </c>
      <c r="Y6" s="7">
        <v>61.4</v>
      </c>
      <c r="Z6" s="7">
        <v>99</v>
      </c>
      <c r="AA6" s="7">
        <v>66.7</v>
      </c>
    </row>
    <row r="7" spans="1:27" x14ac:dyDescent="0.25">
      <c r="A7">
        <v>1997</v>
      </c>
      <c r="B7" s="2">
        <v>-1.3</v>
      </c>
      <c r="C7" s="2">
        <v>3.5</v>
      </c>
      <c r="D7" s="2">
        <v>6</v>
      </c>
      <c r="E7" s="2">
        <v>7.9</v>
      </c>
      <c r="F7" s="2">
        <v>17.8</v>
      </c>
      <c r="G7" s="2">
        <v>20.8</v>
      </c>
      <c r="H7" s="2">
        <v>20.2</v>
      </c>
      <c r="I7" s="2">
        <v>20.5</v>
      </c>
      <c r="J7" s="2">
        <v>16.2</v>
      </c>
      <c r="K7" s="2">
        <v>8.9</v>
      </c>
      <c r="L7" s="2">
        <v>6.2</v>
      </c>
      <c r="M7" s="2">
        <v>2.7</v>
      </c>
      <c r="O7">
        <v>1997</v>
      </c>
      <c r="P7" s="7">
        <v>43.5</v>
      </c>
      <c r="Q7" s="7">
        <v>42.6</v>
      </c>
      <c r="R7" s="7">
        <v>22.8</v>
      </c>
      <c r="S7" s="7">
        <v>58.7</v>
      </c>
      <c r="T7" s="7">
        <v>37.700000000000003</v>
      </c>
      <c r="U7" s="7">
        <v>85.8</v>
      </c>
      <c r="V7" s="7">
        <v>91.2</v>
      </c>
      <c r="W7" s="7">
        <v>40.9</v>
      </c>
      <c r="X7" s="7">
        <v>52.9</v>
      </c>
      <c r="Y7" s="7">
        <v>100</v>
      </c>
      <c r="Z7" s="7">
        <v>42</v>
      </c>
      <c r="AA7" s="7">
        <v>92.4</v>
      </c>
    </row>
    <row r="8" spans="1:27" x14ac:dyDescent="0.25">
      <c r="A8">
        <v>1998</v>
      </c>
      <c r="B8" s="2">
        <v>2.8</v>
      </c>
      <c r="C8" s="2">
        <v>5</v>
      </c>
      <c r="D8" s="2">
        <v>4.8</v>
      </c>
      <c r="E8" s="2">
        <v>12.6</v>
      </c>
      <c r="F8" s="2">
        <v>16.2</v>
      </c>
      <c r="G8" s="2">
        <v>21.4</v>
      </c>
      <c r="H8" s="2">
        <v>22.2</v>
      </c>
      <c r="I8" s="2">
        <v>21.8</v>
      </c>
      <c r="J8" s="2">
        <v>15.9</v>
      </c>
      <c r="K8" s="2">
        <v>12.3</v>
      </c>
      <c r="L8" s="2">
        <v>4</v>
      </c>
      <c r="M8" s="2">
        <v>-3.3</v>
      </c>
      <c r="O8">
        <v>1998</v>
      </c>
      <c r="P8" s="7">
        <v>90.7</v>
      </c>
      <c r="Q8" s="7">
        <v>0.7</v>
      </c>
      <c r="R8" s="7">
        <v>21.2</v>
      </c>
      <c r="S8" s="7">
        <v>53.6</v>
      </c>
      <c r="T8" s="7">
        <v>48.7</v>
      </c>
      <c r="U8" s="7">
        <v>26.4</v>
      </c>
      <c r="V8" s="7">
        <v>83.9</v>
      </c>
      <c r="W8" s="7">
        <v>99.4</v>
      </c>
      <c r="X8" s="7">
        <v>64.400000000000006</v>
      </c>
      <c r="Y8" s="7">
        <v>96.5</v>
      </c>
      <c r="Z8" s="7">
        <v>68.7</v>
      </c>
      <c r="AA8" s="7">
        <v>29.8</v>
      </c>
    </row>
    <row r="9" spans="1:27" x14ac:dyDescent="0.25">
      <c r="A9">
        <v>1999</v>
      </c>
      <c r="B9" s="2">
        <v>0.4</v>
      </c>
      <c r="C9" s="2">
        <v>1.1000000000000001</v>
      </c>
      <c r="D9" s="2">
        <v>8.1999999999999993</v>
      </c>
      <c r="E9" s="2">
        <v>12.6</v>
      </c>
      <c r="F9" s="2">
        <v>17.3</v>
      </c>
      <c r="G9" s="2">
        <v>20.3</v>
      </c>
      <c r="H9" s="2">
        <v>21.9</v>
      </c>
      <c r="I9" s="2">
        <v>21.3</v>
      </c>
      <c r="J9" s="2">
        <v>18.8</v>
      </c>
      <c r="K9" s="2">
        <v>11.7</v>
      </c>
      <c r="L9" s="2">
        <v>4</v>
      </c>
      <c r="M9" s="2">
        <v>0.7</v>
      </c>
      <c r="O9">
        <v>1999</v>
      </c>
      <c r="P9" s="7">
        <v>35.700000000000003</v>
      </c>
      <c r="Q9" s="7">
        <v>60.6</v>
      </c>
      <c r="R9" s="7">
        <v>28.6</v>
      </c>
      <c r="S9" s="7">
        <v>45.2</v>
      </c>
      <c r="T9" s="7">
        <v>89.1</v>
      </c>
      <c r="U9" s="7">
        <v>149.80000000000001</v>
      </c>
      <c r="V9" s="7">
        <v>95.6</v>
      </c>
      <c r="W9" s="7">
        <v>73.7</v>
      </c>
      <c r="X9" s="7">
        <v>50.9</v>
      </c>
      <c r="Y9" s="7">
        <v>22.1</v>
      </c>
      <c r="Z9" s="7">
        <v>123.7</v>
      </c>
      <c r="AA9" s="7">
        <v>98.1</v>
      </c>
    </row>
    <row r="10" spans="1:27" x14ac:dyDescent="0.25">
      <c r="A10">
        <v>2000</v>
      </c>
      <c r="B10" s="2">
        <v>-1.6</v>
      </c>
      <c r="C10" s="2">
        <v>4.2</v>
      </c>
      <c r="D10" s="2">
        <v>7</v>
      </c>
      <c r="E10" s="2">
        <v>14.9</v>
      </c>
      <c r="F10" s="2">
        <v>18.399999999999999</v>
      </c>
      <c r="G10" s="2">
        <v>22.5</v>
      </c>
      <c r="H10" s="2">
        <v>21.7</v>
      </c>
      <c r="I10" s="2">
        <v>23.7</v>
      </c>
      <c r="J10" s="2">
        <v>16.7</v>
      </c>
      <c r="K10" s="2">
        <v>14.1</v>
      </c>
      <c r="L10" s="2">
        <v>10</v>
      </c>
      <c r="M10" s="2">
        <v>3</v>
      </c>
      <c r="O10">
        <v>2000</v>
      </c>
      <c r="P10" s="7">
        <v>17.5</v>
      </c>
      <c r="Q10" s="7">
        <v>14.8</v>
      </c>
      <c r="R10" s="7">
        <v>41</v>
      </c>
      <c r="S10" s="7">
        <v>27.5</v>
      </c>
      <c r="T10" s="7">
        <v>26.3</v>
      </c>
      <c r="U10" s="7">
        <v>9.6</v>
      </c>
      <c r="V10" s="7">
        <v>62.8</v>
      </c>
      <c r="W10" s="7">
        <v>5.3</v>
      </c>
      <c r="X10" s="7">
        <v>23</v>
      </c>
      <c r="Y10" s="7">
        <v>10.1</v>
      </c>
      <c r="Z10" s="7">
        <v>42.4</v>
      </c>
      <c r="AA10" s="7">
        <v>36.700000000000003</v>
      </c>
    </row>
    <row r="11" spans="1:27" x14ac:dyDescent="0.25">
      <c r="A11">
        <v>2001</v>
      </c>
      <c r="B11" s="2">
        <v>2.7</v>
      </c>
      <c r="C11" s="2">
        <v>4.2</v>
      </c>
      <c r="D11" s="2">
        <v>9.9</v>
      </c>
      <c r="E11" s="2">
        <v>10.8</v>
      </c>
      <c r="F11" s="2">
        <v>18.399999999999999</v>
      </c>
      <c r="G11" s="2">
        <v>18.100000000000001</v>
      </c>
      <c r="H11" s="2">
        <v>21.6</v>
      </c>
      <c r="I11" s="2">
        <v>22.7</v>
      </c>
      <c r="J11" s="2">
        <v>14.9</v>
      </c>
      <c r="K11" s="2">
        <v>13.9</v>
      </c>
      <c r="L11" s="2">
        <v>3.5</v>
      </c>
      <c r="M11" s="2">
        <v>-3.8</v>
      </c>
      <c r="O11">
        <v>2001</v>
      </c>
      <c r="P11" s="7">
        <v>74.599999999999994</v>
      </c>
      <c r="Q11" s="7">
        <v>22.9</v>
      </c>
      <c r="R11" s="7">
        <v>83</v>
      </c>
      <c r="S11" s="7">
        <v>72</v>
      </c>
      <c r="T11" s="7">
        <v>60.1</v>
      </c>
      <c r="U11" s="7">
        <v>239.5</v>
      </c>
      <c r="V11" s="7">
        <v>77.099999999999994</v>
      </c>
      <c r="W11" s="7">
        <v>7.1</v>
      </c>
      <c r="X11" s="7">
        <v>195.2</v>
      </c>
      <c r="Y11" s="7">
        <v>5.0999999999999996</v>
      </c>
      <c r="Z11" s="7">
        <v>74</v>
      </c>
      <c r="AA11" s="7">
        <v>33.9</v>
      </c>
    </row>
    <row r="12" spans="1:27" x14ac:dyDescent="0.25">
      <c r="A12">
        <v>2002</v>
      </c>
      <c r="B12" s="6">
        <v>-0.2</v>
      </c>
      <c r="C12" s="6">
        <v>6</v>
      </c>
      <c r="D12" s="6">
        <v>8.4</v>
      </c>
      <c r="E12" s="6">
        <v>11.2</v>
      </c>
      <c r="F12" s="6">
        <v>18.600000000000001</v>
      </c>
      <c r="G12" s="19">
        <v>19.5</v>
      </c>
      <c r="H12" s="6">
        <v>22.3</v>
      </c>
      <c r="I12" s="6">
        <v>20.9</v>
      </c>
      <c r="J12" s="6">
        <v>15.4</v>
      </c>
      <c r="K12" s="6">
        <v>11.3</v>
      </c>
      <c r="L12" s="6">
        <v>8.8000000000000007</v>
      </c>
      <c r="M12" s="6">
        <v>0.9</v>
      </c>
      <c r="O12">
        <v>2002</v>
      </c>
      <c r="P12" s="7">
        <v>11</v>
      </c>
      <c r="Q12" s="7">
        <v>48</v>
      </c>
      <c r="R12" s="7">
        <v>9</v>
      </c>
      <c r="S12" s="7">
        <v>71</v>
      </c>
      <c r="T12" s="7">
        <v>135</v>
      </c>
      <c r="U12" s="7">
        <v>36</v>
      </c>
      <c r="V12" s="7">
        <v>59</v>
      </c>
      <c r="W12" s="7">
        <v>77</v>
      </c>
      <c r="X12" s="7">
        <v>81</v>
      </c>
      <c r="Y12" s="7">
        <v>71</v>
      </c>
      <c r="Z12" s="7">
        <v>33</v>
      </c>
      <c r="AA12" s="7">
        <v>25</v>
      </c>
    </row>
    <row r="13" spans="1:27" x14ac:dyDescent="0.25">
      <c r="A13">
        <v>2003</v>
      </c>
      <c r="B13" s="6">
        <v>-2.4</v>
      </c>
      <c r="C13" s="6">
        <v>-3.1</v>
      </c>
      <c r="D13" s="6">
        <v>5.9</v>
      </c>
      <c r="E13" s="6">
        <v>11.3</v>
      </c>
      <c r="F13" s="6">
        <v>20.100000000000001</v>
      </c>
      <c r="G13" s="6">
        <v>24.3</v>
      </c>
      <c r="H13" s="6">
        <v>22.1</v>
      </c>
      <c r="I13" s="6">
        <v>23.6</v>
      </c>
      <c r="J13" s="6">
        <v>15.9</v>
      </c>
      <c r="K13" s="6">
        <v>9.4</v>
      </c>
      <c r="L13" s="6">
        <v>7.5</v>
      </c>
      <c r="M13" s="6">
        <v>1.4</v>
      </c>
      <c r="O13">
        <v>2003</v>
      </c>
      <c r="P13" s="7">
        <v>66.400000000000006</v>
      </c>
      <c r="Q13" s="7">
        <v>15.6</v>
      </c>
      <c r="R13" s="7">
        <v>4.5999999999999996</v>
      </c>
      <c r="S13" s="7">
        <v>11.9</v>
      </c>
      <c r="T13" s="7">
        <v>18.399999999999999</v>
      </c>
      <c r="U13" s="7">
        <v>43.9</v>
      </c>
      <c r="V13" s="7">
        <v>59.8</v>
      </c>
      <c r="W13" s="7">
        <v>40.799999999999997</v>
      </c>
      <c r="X13" s="7">
        <v>50.5</v>
      </c>
      <c r="Y13" s="7">
        <v>123</v>
      </c>
      <c r="Z13" s="7">
        <v>44.7</v>
      </c>
      <c r="AA13" s="7">
        <v>21.2</v>
      </c>
    </row>
    <row r="14" spans="1:27" x14ac:dyDescent="0.25">
      <c r="A14">
        <v>2004</v>
      </c>
      <c r="B14" s="19">
        <v>-1.4</v>
      </c>
      <c r="C14" s="19">
        <v>2.2999999999999998</v>
      </c>
      <c r="D14" s="19">
        <v>5.8</v>
      </c>
      <c r="E14" s="19">
        <v>11.7</v>
      </c>
      <c r="F14" s="19">
        <v>14.6</v>
      </c>
      <c r="G14" s="19">
        <v>19.2</v>
      </c>
      <c r="H14" s="19">
        <v>21.5</v>
      </c>
      <c r="I14" s="19">
        <v>21</v>
      </c>
      <c r="J14" s="19">
        <v>15.5</v>
      </c>
      <c r="K14" s="19">
        <v>13.2</v>
      </c>
      <c r="L14" s="19">
        <v>6.2</v>
      </c>
      <c r="M14" s="19">
        <v>1.9</v>
      </c>
      <c r="O14">
        <v>2004</v>
      </c>
      <c r="P14" s="7">
        <v>50.4</v>
      </c>
      <c r="Q14" s="7">
        <v>50</v>
      </c>
      <c r="R14" s="7">
        <v>40.6</v>
      </c>
      <c r="S14" s="7">
        <v>136.6</v>
      </c>
      <c r="T14" s="7">
        <v>65.099999999999994</v>
      </c>
      <c r="U14" s="7">
        <v>76.7</v>
      </c>
      <c r="V14" s="7">
        <v>43.5</v>
      </c>
      <c r="W14" s="7">
        <v>106.5</v>
      </c>
      <c r="X14" s="7">
        <v>41.2</v>
      </c>
      <c r="Y14" s="7">
        <v>93.8</v>
      </c>
      <c r="Z14" s="7">
        <v>114.6</v>
      </c>
      <c r="AA14" s="7">
        <v>42.3</v>
      </c>
    </row>
    <row r="15" spans="1:27" x14ac:dyDescent="0.25">
      <c r="A15">
        <v>2005</v>
      </c>
      <c r="B15" s="19">
        <v>0</v>
      </c>
      <c r="C15" s="19">
        <v>-3.3</v>
      </c>
      <c r="D15" s="19">
        <v>4.0999999999999996</v>
      </c>
      <c r="E15" s="19">
        <v>11.5</v>
      </c>
      <c r="F15" s="19">
        <v>17</v>
      </c>
      <c r="G15" s="19">
        <v>19.5</v>
      </c>
      <c r="H15" s="19">
        <v>21.5</v>
      </c>
      <c r="I15" s="19">
        <v>19.3</v>
      </c>
      <c r="J15" s="19">
        <v>17.100000000000001</v>
      </c>
      <c r="K15" s="19">
        <v>11.7</v>
      </c>
      <c r="L15" s="19">
        <v>5</v>
      </c>
      <c r="M15" s="19">
        <v>1.7</v>
      </c>
      <c r="O15">
        <v>2005</v>
      </c>
      <c r="P15" s="7">
        <v>35.5</v>
      </c>
      <c r="Q15" s="7">
        <v>66.2</v>
      </c>
      <c r="R15" s="7">
        <v>54</v>
      </c>
      <c r="S15" s="7">
        <v>55.3</v>
      </c>
      <c r="T15" s="7">
        <v>50.5</v>
      </c>
      <c r="U15" s="7">
        <v>110.2</v>
      </c>
      <c r="V15" s="7">
        <v>170.8</v>
      </c>
      <c r="W15" s="7">
        <v>237.6</v>
      </c>
      <c r="X15" s="7">
        <v>74.599999999999994</v>
      </c>
      <c r="Y15" s="7">
        <v>5.9</v>
      </c>
      <c r="Z15" s="7">
        <v>15.9</v>
      </c>
      <c r="AA15" s="7">
        <v>97.2</v>
      </c>
    </row>
    <row r="16" spans="1:27" x14ac:dyDescent="0.25">
      <c r="A16">
        <v>2006</v>
      </c>
      <c r="B16" s="19">
        <v>-1.6</v>
      </c>
      <c r="C16" s="19">
        <v>1.1000000000000001</v>
      </c>
      <c r="D16" s="19">
        <v>5.4</v>
      </c>
      <c r="E16" s="19">
        <v>12.7</v>
      </c>
      <c r="F16" s="19">
        <v>16.2</v>
      </c>
      <c r="G16" s="19">
        <v>20.100000000000001</v>
      </c>
      <c r="H16" s="19">
        <v>23.5</v>
      </c>
      <c r="I16" s="19">
        <v>19.3</v>
      </c>
      <c r="J16" s="19">
        <v>17.8</v>
      </c>
      <c r="K16" s="19">
        <v>13</v>
      </c>
      <c r="L16" s="19">
        <v>7.8</v>
      </c>
      <c r="M16" s="19">
        <v>3</v>
      </c>
      <c r="O16">
        <v>2006</v>
      </c>
      <c r="P16" s="7">
        <v>32.9</v>
      </c>
      <c r="Q16" s="7">
        <v>48.3</v>
      </c>
      <c r="R16" s="7">
        <v>52.5</v>
      </c>
      <c r="S16" s="7">
        <v>86.8</v>
      </c>
      <c r="T16" s="7">
        <v>78.599999999999994</v>
      </c>
      <c r="U16" s="7">
        <v>78</v>
      </c>
      <c r="V16" s="7">
        <v>14.6</v>
      </c>
      <c r="W16" s="7">
        <v>133.5</v>
      </c>
      <c r="X16" s="7">
        <v>10.9</v>
      </c>
      <c r="Y16" s="7">
        <v>31.1</v>
      </c>
      <c r="Z16" s="7">
        <v>32.299999999999997</v>
      </c>
      <c r="AA16" s="7">
        <v>32.6</v>
      </c>
    </row>
    <row r="17" spans="1:27" x14ac:dyDescent="0.25">
      <c r="A17">
        <v>2007</v>
      </c>
      <c r="B17" s="19">
        <v>5.8</v>
      </c>
      <c r="C17" s="19">
        <v>6.1</v>
      </c>
      <c r="D17" s="19">
        <v>8.5</v>
      </c>
      <c r="E17" s="19">
        <v>13.3</v>
      </c>
      <c r="F17" s="19">
        <v>18.3</v>
      </c>
      <c r="G17" s="19">
        <v>22.3</v>
      </c>
      <c r="H17" s="19">
        <v>23.8</v>
      </c>
      <c r="I17" s="19">
        <v>22.2</v>
      </c>
      <c r="J17" s="19">
        <v>14.5</v>
      </c>
      <c r="K17" s="19">
        <v>10.3</v>
      </c>
      <c r="L17" s="19">
        <v>4</v>
      </c>
      <c r="M17" s="19">
        <v>0.1</v>
      </c>
      <c r="O17">
        <v>2007</v>
      </c>
      <c r="P17" s="7">
        <v>25.3</v>
      </c>
      <c r="Q17" s="7">
        <v>46.5</v>
      </c>
      <c r="R17" s="7">
        <v>76</v>
      </c>
      <c r="S17" s="7">
        <v>2.9</v>
      </c>
      <c r="T17" s="7">
        <v>56.1</v>
      </c>
      <c r="U17" s="7">
        <v>33.299999999999997</v>
      </c>
      <c r="V17" s="7">
        <v>27.4</v>
      </c>
      <c r="W17" s="7">
        <v>45</v>
      </c>
      <c r="X17" s="7">
        <v>65.2</v>
      </c>
      <c r="Y17" s="7">
        <v>92.5</v>
      </c>
      <c r="Z17" s="7">
        <v>102.7</v>
      </c>
      <c r="AA17" s="7">
        <v>48</v>
      </c>
    </row>
    <row r="18" spans="1:27" x14ac:dyDescent="0.25">
      <c r="A18">
        <v>2008</v>
      </c>
      <c r="B18" s="19">
        <v>1.5</v>
      </c>
      <c r="C18" s="19">
        <v>4.9000000000000004</v>
      </c>
      <c r="D18" s="19">
        <v>7.5</v>
      </c>
      <c r="E18" s="19">
        <v>12.5</v>
      </c>
      <c r="F18" s="19">
        <v>18.100000000000001</v>
      </c>
      <c r="G18" s="19">
        <v>21.5</v>
      </c>
      <c r="H18" s="19">
        <v>21.9</v>
      </c>
      <c r="I18" s="19">
        <v>21.8</v>
      </c>
      <c r="J18" s="19">
        <v>15.7</v>
      </c>
      <c r="K18" s="19">
        <v>13</v>
      </c>
      <c r="L18" s="19">
        <v>7.5</v>
      </c>
      <c r="M18" s="19">
        <v>3.8</v>
      </c>
      <c r="O18">
        <v>2008</v>
      </c>
      <c r="P18" s="7">
        <v>33.1</v>
      </c>
      <c r="Q18" s="7">
        <v>4.7</v>
      </c>
      <c r="R18" s="7">
        <v>82.4</v>
      </c>
      <c r="S18" s="7">
        <v>48.8</v>
      </c>
      <c r="T18" s="7">
        <v>66.900000000000006</v>
      </c>
      <c r="U18" s="7">
        <v>76.3</v>
      </c>
      <c r="V18" s="7">
        <v>67.599999999999994</v>
      </c>
      <c r="W18" s="7">
        <v>46.2</v>
      </c>
      <c r="X18" s="7">
        <v>86.3</v>
      </c>
      <c r="Y18" s="7">
        <v>29.8</v>
      </c>
      <c r="Z18" s="7">
        <v>47.9</v>
      </c>
      <c r="AA18" s="7">
        <v>40.799999999999997</v>
      </c>
    </row>
    <row r="19" spans="1:27" x14ac:dyDescent="0.25">
      <c r="A19">
        <v>2009</v>
      </c>
      <c r="B19" s="19">
        <v>-1.2</v>
      </c>
      <c r="C19" s="19">
        <v>2.2999999999999998</v>
      </c>
      <c r="D19" s="19">
        <v>6.8</v>
      </c>
      <c r="E19" s="19">
        <v>14.6</v>
      </c>
      <c r="F19" s="19">
        <v>18.3</v>
      </c>
      <c r="G19" s="19">
        <v>19.2</v>
      </c>
      <c r="H19" s="19">
        <v>23.2</v>
      </c>
      <c r="I19" s="19">
        <v>22.9</v>
      </c>
      <c r="J19" s="19">
        <v>19.100000000000001</v>
      </c>
      <c r="K19" s="19">
        <v>11.5</v>
      </c>
      <c r="L19" s="19">
        <v>8.1999999999999993</v>
      </c>
      <c r="M19" s="19">
        <v>3.1</v>
      </c>
      <c r="O19">
        <v>2009</v>
      </c>
      <c r="P19" s="7">
        <v>60.3</v>
      </c>
      <c r="Q19" s="7">
        <v>28.6</v>
      </c>
      <c r="R19" s="7">
        <v>26.5</v>
      </c>
      <c r="S19" s="7">
        <v>18.7</v>
      </c>
      <c r="T19" s="7">
        <v>39.4</v>
      </c>
      <c r="U19" s="7">
        <v>62.8</v>
      </c>
      <c r="V19" s="7">
        <v>13.8</v>
      </c>
      <c r="W19" s="7">
        <v>60.6</v>
      </c>
      <c r="X19" s="7">
        <v>10</v>
      </c>
      <c r="Y19" s="7">
        <v>55.3</v>
      </c>
      <c r="Z19" s="7">
        <v>67.8</v>
      </c>
      <c r="AA19" s="7">
        <v>100.8</v>
      </c>
    </row>
    <row r="20" spans="1:27" x14ac:dyDescent="0.25">
      <c r="A20">
        <v>2010</v>
      </c>
      <c r="B20" s="19">
        <v>-0.8</v>
      </c>
      <c r="C20" s="19">
        <v>1.3</v>
      </c>
      <c r="D20" s="19">
        <v>6.8</v>
      </c>
      <c r="E20" s="19">
        <v>12.4</v>
      </c>
      <c r="F20" s="19">
        <v>16.5</v>
      </c>
      <c r="G20" s="19">
        <v>20.399999999999999</v>
      </c>
      <c r="H20" s="19">
        <v>23.2</v>
      </c>
      <c r="I20" s="19">
        <v>21.7</v>
      </c>
      <c r="J20" s="19">
        <v>15.6</v>
      </c>
      <c r="K20" s="19">
        <v>9.1</v>
      </c>
      <c r="L20" s="19">
        <v>8.9</v>
      </c>
      <c r="M20" s="19">
        <v>0.3</v>
      </c>
      <c r="O20">
        <v>2010</v>
      </c>
      <c r="P20" s="7">
        <v>83.9</v>
      </c>
      <c r="Q20" s="7">
        <v>58.6</v>
      </c>
      <c r="R20" s="7">
        <v>22.2</v>
      </c>
      <c r="S20" s="7">
        <v>71.099999999999994</v>
      </c>
      <c r="T20" s="7">
        <v>120.8</v>
      </c>
      <c r="U20" s="7">
        <v>234</v>
      </c>
      <c r="V20" s="7">
        <v>31.5</v>
      </c>
      <c r="W20" s="7">
        <v>110.8</v>
      </c>
      <c r="X20" s="7">
        <v>108.4</v>
      </c>
      <c r="Y20" s="7">
        <v>67.099999999999994</v>
      </c>
      <c r="Z20" s="7">
        <v>56.3</v>
      </c>
      <c r="AA20" s="7">
        <v>73.5</v>
      </c>
    </row>
    <row r="21" spans="1:27" x14ac:dyDescent="0.25">
      <c r="A21">
        <v>2011</v>
      </c>
      <c r="B21" s="19">
        <v>1.1000000000000001</v>
      </c>
      <c r="C21" s="19">
        <v>0.7</v>
      </c>
      <c r="D21" s="19">
        <v>6.4</v>
      </c>
      <c r="E21" s="19">
        <v>13.2</v>
      </c>
      <c r="F21" s="19">
        <v>16.7</v>
      </c>
      <c r="G21" s="19">
        <v>20.8</v>
      </c>
      <c r="H21" s="19">
        <v>22.2</v>
      </c>
      <c r="I21" s="19">
        <v>23</v>
      </c>
      <c r="J21" s="19">
        <v>20.3</v>
      </c>
      <c r="K21" s="19">
        <v>10.6</v>
      </c>
      <c r="L21" s="19">
        <v>2.2999999999999998</v>
      </c>
      <c r="M21" s="19">
        <v>3.4</v>
      </c>
      <c r="O21">
        <v>2011</v>
      </c>
      <c r="P21" s="7">
        <v>23.6</v>
      </c>
      <c r="Q21" s="7">
        <v>18.399999999999999</v>
      </c>
      <c r="R21" s="7">
        <v>37.1</v>
      </c>
      <c r="S21" s="7">
        <v>19.399999999999999</v>
      </c>
      <c r="T21" s="7">
        <v>81.2</v>
      </c>
      <c r="U21" s="7">
        <v>49.9</v>
      </c>
      <c r="V21" s="7">
        <v>73.900000000000006</v>
      </c>
      <c r="W21" s="7">
        <v>4.5999999999999996</v>
      </c>
      <c r="X21" s="7">
        <v>15.9</v>
      </c>
      <c r="Y21" s="7">
        <v>28.7</v>
      </c>
      <c r="Z21" s="7">
        <v>0.4</v>
      </c>
      <c r="AA21" s="7">
        <v>69.099999999999994</v>
      </c>
    </row>
    <row r="22" spans="1:27" x14ac:dyDescent="0.25">
      <c r="A22">
        <v>2012</v>
      </c>
      <c r="B22" s="19">
        <v>2.2000000000000002</v>
      </c>
      <c r="C22" s="19">
        <v>-4.0999999999999996</v>
      </c>
      <c r="D22" s="19">
        <v>8.6999999999999993</v>
      </c>
      <c r="E22" s="19">
        <v>12.5</v>
      </c>
      <c r="F22" s="19">
        <v>16.899999999999999</v>
      </c>
      <c r="G22" s="19">
        <v>22.5</v>
      </c>
      <c r="H22" s="19">
        <v>24.8</v>
      </c>
      <c r="I22" s="19">
        <v>24.1</v>
      </c>
      <c r="J22" s="19">
        <v>18.899999999999999</v>
      </c>
      <c r="K22" s="19">
        <v>12.1</v>
      </c>
      <c r="L22" s="19">
        <v>9</v>
      </c>
      <c r="M22" s="19">
        <v>0.4</v>
      </c>
      <c r="O22">
        <v>2012</v>
      </c>
      <c r="P22" s="7">
        <v>28</v>
      </c>
      <c r="Q22" s="7">
        <v>58.1</v>
      </c>
      <c r="R22" s="7">
        <v>0.9</v>
      </c>
      <c r="S22" s="7">
        <v>45.5</v>
      </c>
      <c r="T22" s="7">
        <v>93.7</v>
      </c>
      <c r="U22" s="7">
        <v>67.900000000000006</v>
      </c>
      <c r="V22" s="7">
        <v>47.8</v>
      </c>
      <c r="W22" s="7">
        <v>4</v>
      </c>
      <c r="X22" s="7">
        <v>32.299999999999997</v>
      </c>
      <c r="Y22" s="7">
        <v>66.5</v>
      </c>
      <c r="Z22" s="7">
        <v>50.2</v>
      </c>
      <c r="AA22" s="7">
        <v>104.3</v>
      </c>
    </row>
    <row r="23" spans="1:27" x14ac:dyDescent="0.25">
      <c r="A23">
        <v>2013</v>
      </c>
      <c r="B23" s="19">
        <v>2.1</v>
      </c>
      <c r="C23" s="19">
        <v>2.9</v>
      </c>
      <c r="D23" s="19">
        <v>5.2</v>
      </c>
      <c r="E23" s="19">
        <v>13.1</v>
      </c>
      <c r="F23" s="19">
        <v>16.7</v>
      </c>
      <c r="G23" s="19">
        <v>20</v>
      </c>
      <c r="H23" s="19">
        <v>22.9</v>
      </c>
      <c r="I23" s="19">
        <v>22.9</v>
      </c>
      <c r="J23" s="19">
        <v>15.9</v>
      </c>
      <c r="K23" s="19">
        <v>13.7</v>
      </c>
      <c r="L23" s="19">
        <v>7.8</v>
      </c>
      <c r="M23" s="19">
        <v>1.6</v>
      </c>
      <c r="O23">
        <v>2013</v>
      </c>
      <c r="P23" s="7">
        <v>60.8</v>
      </c>
      <c r="Q23" s="7">
        <v>85.8</v>
      </c>
      <c r="R23" s="7">
        <v>84.3</v>
      </c>
      <c r="S23" s="7">
        <v>44.9</v>
      </c>
      <c r="T23" s="7">
        <v>119</v>
      </c>
      <c r="U23" s="7">
        <v>63.2</v>
      </c>
      <c r="V23" s="7">
        <v>36.5</v>
      </c>
      <c r="W23" s="7">
        <v>32.9</v>
      </c>
      <c r="X23" s="7">
        <v>129</v>
      </c>
      <c r="Y23" s="7">
        <v>52.3</v>
      </c>
      <c r="Z23" s="7">
        <v>63.8</v>
      </c>
      <c r="AA23" s="7">
        <v>0</v>
      </c>
    </row>
    <row r="24" spans="1:27" x14ac:dyDescent="0.25">
      <c r="A24">
        <v>2014</v>
      </c>
      <c r="B24" s="19">
        <v>3.7</v>
      </c>
      <c r="C24" s="19">
        <v>5.6</v>
      </c>
      <c r="D24" s="19">
        <v>9.5</v>
      </c>
      <c r="E24" s="19">
        <v>13.2</v>
      </c>
      <c r="F24" s="19">
        <v>16.100000000000001</v>
      </c>
      <c r="G24" s="19">
        <v>20.5</v>
      </c>
      <c r="H24" s="19">
        <v>21.8</v>
      </c>
      <c r="I24" s="19">
        <v>20.8</v>
      </c>
      <c r="J24" s="19">
        <v>17</v>
      </c>
      <c r="K24" s="19">
        <v>13.3</v>
      </c>
      <c r="L24" s="19">
        <v>8.3000000000000007</v>
      </c>
      <c r="M24" s="19">
        <v>3.5</v>
      </c>
      <c r="O24">
        <v>2014</v>
      </c>
      <c r="P24" s="7">
        <v>36</v>
      </c>
      <c r="Q24" s="7">
        <v>48</v>
      </c>
      <c r="R24" s="7">
        <v>39.4</v>
      </c>
      <c r="S24" s="7">
        <v>81.3</v>
      </c>
      <c r="T24" s="7">
        <v>161.4</v>
      </c>
      <c r="U24" s="7">
        <v>91</v>
      </c>
      <c r="V24" s="7">
        <v>66.400000000000006</v>
      </c>
      <c r="W24" s="7">
        <v>54.3</v>
      </c>
      <c r="X24" s="7">
        <v>68.900000000000006</v>
      </c>
      <c r="Y24" s="7">
        <v>87.9</v>
      </c>
      <c r="Z24" s="7">
        <v>8.8000000000000007</v>
      </c>
      <c r="AA24" s="7">
        <v>66</v>
      </c>
    </row>
    <row r="25" spans="1:27" x14ac:dyDescent="0.25">
      <c r="A25">
        <v>2015</v>
      </c>
      <c r="B25" s="19">
        <v>2.9</v>
      </c>
      <c r="C25" s="19">
        <v>2.5</v>
      </c>
      <c r="D25" s="19">
        <v>7.5</v>
      </c>
      <c r="E25" s="19">
        <v>12.1</v>
      </c>
      <c r="F25" s="19">
        <v>17.8</v>
      </c>
      <c r="G25" s="19">
        <v>20.8</v>
      </c>
      <c r="H25" s="19">
        <v>24.6</v>
      </c>
      <c r="I25" s="19">
        <v>23.7</v>
      </c>
      <c r="J25" s="19">
        <v>17.899999999999999</v>
      </c>
      <c r="K25" s="19">
        <v>11.1</v>
      </c>
      <c r="L25" s="19">
        <v>7.5</v>
      </c>
      <c r="M25" s="19">
        <v>3.2</v>
      </c>
      <c r="O25">
        <v>2015</v>
      </c>
      <c r="P25" s="7">
        <v>73.7</v>
      </c>
      <c r="Q25" s="7">
        <v>57.1</v>
      </c>
      <c r="R25" s="7">
        <v>50.5</v>
      </c>
      <c r="S25" s="7">
        <v>12.9</v>
      </c>
      <c r="T25" s="7">
        <v>113.4</v>
      </c>
      <c r="U25" s="7">
        <v>17.100000000000001</v>
      </c>
      <c r="V25" s="7">
        <v>25.6</v>
      </c>
      <c r="W25" s="7">
        <v>105.8</v>
      </c>
      <c r="X25" s="7">
        <v>41.1</v>
      </c>
      <c r="Y25" s="7">
        <v>142.1</v>
      </c>
      <c r="Z25" s="7">
        <v>45.1</v>
      </c>
      <c r="AA25" s="7">
        <v>1.9</v>
      </c>
    </row>
    <row r="26" spans="1:27" x14ac:dyDescent="0.25">
      <c r="A26">
        <v>2016</v>
      </c>
      <c r="B26" s="7">
        <v>0.8</v>
      </c>
      <c r="C26" s="7">
        <v>6.9</v>
      </c>
      <c r="D26" s="7">
        <v>7.5</v>
      </c>
      <c r="E26" s="7">
        <v>13.1</v>
      </c>
      <c r="F26" s="7">
        <v>16.5</v>
      </c>
      <c r="G26" s="7">
        <v>21</v>
      </c>
      <c r="H26" s="7">
        <v>22.8</v>
      </c>
      <c r="I26" s="7">
        <v>20.6</v>
      </c>
      <c r="J26" s="7">
        <v>18.100000000000001</v>
      </c>
      <c r="K26" s="7">
        <v>10.4</v>
      </c>
      <c r="L26" s="7">
        <v>6.2</v>
      </c>
      <c r="M26" s="7">
        <v>-0.1</v>
      </c>
      <c r="O26">
        <v>2016</v>
      </c>
      <c r="P26" s="7">
        <v>67</v>
      </c>
      <c r="Q26" s="7">
        <v>68.3</v>
      </c>
      <c r="R26" s="7">
        <v>68.2</v>
      </c>
      <c r="S26" s="7">
        <v>39.799999999999997</v>
      </c>
      <c r="T26" s="7">
        <v>63.1</v>
      </c>
      <c r="U26" s="7">
        <v>99.5</v>
      </c>
      <c r="V26" s="7">
        <v>110.8</v>
      </c>
      <c r="W26" s="7">
        <v>72.099999999999994</v>
      </c>
      <c r="X26" s="7">
        <v>43</v>
      </c>
      <c r="Y26" s="7">
        <v>65.400000000000006</v>
      </c>
      <c r="Z26" s="7">
        <v>57.1</v>
      </c>
      <c r="AA26" s="7">
        <v>0.5</v>
      </c>
    </row>
    <row r="27" spans="1:27" x14ac:dyDescent="0.25">
      <c r="A27">
        <v>2017</v>
      </c>
      <c r="B27" s="7">
        <v>-5.0999999999999996</v>
      </c>
      <c r="C27" s="7">
        <v>4.2</v>
      </c>
      <c r="D27" s="7">
        <v>9.5</v>
      </c>
      <c r="E27" s="7">
        <v>11.3</v>
      </c>
      <c r="F27" s="7">
        <v>17.5</v>
      </c>
      <c r="G27" s="7">
        <v>22.4</v>
      </c>
      <c r="H27" s="7">
        <v>23.4</v>
      </c>
      <c r="I27" s="7">
        <v>23.7</v>
      </c>
      <c r="J27" s="7">
        <v>16.100000000000001</v>
      </c>
      <c r="K27" s="7">
        <v>11.8</v>
      </c>
      <c r="L27" s="7">
        <v>6.7</v>
      </c>
      <c r="M27" s="7">
        <v>3.6</v>
      </c>
      <c r="O27">
        <v>2017</v>
      </c>
      <c r="P27" s="7">
        <v>25.2</v>
      </c>
      <c r="Q27" s="7">
        <v>74.400000000000006</v>
      </c>
      <c r="R27" s="7">
        <v>67.599999999999994</v>
      </c>
      <c r="S27" s="7">
        <v>49.7</v>
      </c>
      <c r="T27" s="7">
        <v>50.6</v>
      </c>
      <c r="U27" s="7">
        <v>45.4</v>
      </c>
      <c r="V27" s="7">
        <v>64</v>
      </c>
      <c r="W27" s="7">
        <v>30</v>
      </c>
      <c r="X27" s="7">
        <v>80.3</v>
      </c>
      <c r="Y27" s="7">
        <v>68.7</v>
      </c>
      <c r="Z27" s="7">
        <v>33</v>
      </c>
      <c r="AA27" s="7">
        <v>51.7</v>
      </c>
    </row>
    <row r="28" spans="1:27" x14ac:dyDescent="0.25">
      <c r="A28">
        <v>2018</v>
      </c>
      <c r="B28" s="19">
        <v>4.5</v>
      </c>
      <c r="C28" s="19">
        <v>0.6</v>
      </c>
      <c r="D28" s="19">
        <v>4.5999999999999996</v>
      </c>
      <c r="E28" s="19">
        <v>16.5</v>
      </c>
      <c r="F28" s="19">
        <v>20.100000000000001</v>
      </c>
      <c r="G28" s="19">
        <v>21</v>
      </c>
      <c r="H28" s="19">
        <v>22.1</v>
      </c>
      <c r="I28" s="19">
        <v>23.6</v>
      </c>
      <c r="J28" s="19">
        <v>17.399999999999999</v>
      </c>
      <c r="K28" s="19">
        <v>14</v>
      </c>
      <c r="L28" s="19">
        <v>7.3</v>
      </c>
      <c r="M28" s="19">
        <v>1.4</v>
      </c>
      <c r="O28">
        <v>2018</v>
      </c>
      <c r="P28" s="7">
        <v>61.7</v>
      </c>
      <c r="Q28" s="7">
        <v>70.2</v>
      </c>
      <c r="R28" s="7">
        <v>83.4</v>
      </c>
      <c r="S28" s="7">
        <v>21</v>
      </c>
      <c r="T28" s="7">
        <v>27.4</v>
      </c>
      <c r="U28" s="7">
        <v>126.8</v>
      </c>
      <c r="V28" s="7">
        <v>131.6</v>
      </c>
      <c r="W28" s="7">
        <v>36.299999999999997</v>
      </c>
      <c r="X28" s="7">
        <v>27.1</v>
      </c>
      <c r="Y28" s="7">
        <v>12.2</v>
      </c>
      <c r="Z28" s="7">
        <v>25.2</v>
      </c>
      <c r="AA28" s="7">
        <v>26.7</v>
      </c>
    </row>
    <row r="29" spans="1:27" x14ac:dyDescent="0.25">
      <c r="A29">
        <v>2019</v>
      </c>
      <c r="B29" s="19">
        <v>0.5</v>
      </c>
      <c r="C29" s="19">
        <v>4.2</v>
      </c>
      <c r="D29" s="19">
        <v>9.1</v>
      </c>
      <c r="E29" s="19">
        <v>12.8</v>
      </c>
      <c r="F29" s="19">
        <v>14</v>
      </c>
      <c r="G29" s="19">
        <v>23.1</v>
      </c>
      <c r="H29" s="19">
        <v>22.6</v>
      </c>
      <c r="I29" s="19">
        <v>23.4</v>
      </c>
      <c r="J29" s="19">
        <v>17.600000000000001</v>
      </c>
      <c r="K29" s="19">
        <v>13</v>
      </c>
      <c r="L29" s="19">
        <v>10.1</v>
      </c>
      <c r="M29" s="19">
        <v>4</v>
      </c>
      <c r="O29">
        <v>2019</v>
      </c>
      <c r="P29" s="7">
        <v>42.4</v>
      </c>
      <c r="Q29" s="7">
        <v>26.8</v>
      </c>
      <c r="R29" s="7">
        <v>8.4</v>
      </c>
      <c r="S29" s="7">
        <v>68.599999999999994</v>
      </c>
      <c r="T29" s="7">
        <v>150.80000000000001</v>
      </c>
      <c r="U29" s="7">
        <v>112.8</v>
      </c>
      <c r="V29" s="7">
        <v>57.4</v>
      </c>
      <c r="W29" s="7">
        <v>82.2</v>
      </c>
      <c r="X29" s="7">
        <v>75</v>
      </c>
      <c r="Y29" s="7">
        <v>32.299999999999997</v>
      </c>
      <c r="Z29" s="7">
        <v>57.1</v>
      </c>
      <c r="AA29" s="7">
        <v>44.9</v>
      </c>
    </row>
    <row r="30" spans="1:27" x14ac:dyDescent="0.25">
      <c r="A30">
        <v>2020</v>
      </c>
      <c r="B30" s="19">
        <v>0.4</v>
      </c>
      <c r="C30" s="19">
        <v>6.3</v>
      </c>
      <c r="D30" s="19">
        <v>7.2</v>
      </c>
      <c r="E30" s="19">
        <v>12.2</v>
      </c>
      <c r="F30" s="19">
        <v>15.3</v>
      </c>
      <c r="G30" s="19">
        <v>20.2</v>
      </c>
      <c r="H30" s="19">
        <v>22.3</v>
      </c>
      <c r="I30" s="19">
        <v>23.4</v>
      </c>
      <c r="J30" s="19">
        <v>18.8</v>
      </c>
      <c r="K30" s="19">
        <v>12.9</v>
      </c>
      <c r="L30" s="19">
        <v>6.4</v>
      </c>
      <c r="M30" s="19">
        <v>4.3</v>
      </c>
      <c r="O30">
        <v>2020</v>
      </c>
      <c r="P30" s="7">
        <v>13.8</v>
      </c>
      <c r="Q30" s="7">
        <v>35.6</v>
      </c>
      <c r="R30" s="7">
        <v>37.4</v>
      </c>
      <c r="S30" s="7">
        <v>20.7</v>
      </c>
      <c r="T30" s="7">
        <v>53.3</v>
      </c>
      <c r="U30" s="7">
        <v>73.5</v>
      </c>
      <c r="V30" s="7">
        <v>40</v>
      </c>
      <c r="W30" s="7">
        <v>98.7</v>
      </c>
      <c r="X30" s="7">
        <v>39.1</v>
      </c>
      <c r="Y30" s="7">
        <v>86.5</v>
      </c>
      <c r="Z30" s="7">
        <v>18</v>
      </c>
      <c r="AA30" s="7">
        <v>61.4</v>
      </c>
    </row>
    <row r="31" spans="1:27" x14ac:dyDescent="0.25">
      <c r="A31">
        <v>2021</v>
      </c>
      <c r="B31" s="19">
        <v>2.5</v>
      </c>
      <c r="C31" s="19">
        <v>4.7</v>
      </c>
      <c r="D31" s="19">
        <v>5.8</v>
      </c>
      <c r="E31" s="19">
        <v>9.4</v>
      </c>
      <c r="F31" s="19">
        <v>15.4</v>
      </c>
      <c r="G31" s="19">
        <v>23</v>
      </c>
      <c r="H31" s="19">
        <v>24.6</v>
      </c>
      <c r="I31" s="19">
        <v>21.6</v>
      </c>
      <c r="J31" s="19">
        <v>17.5</v>
      </c>
      <c r="K31" s="19">
        <v>10</v>
      </c>
      <c r="L31" s="19">
        <v>6.3</v>
      </c>
      <c r="M31" s="19">
        <v>2.9</v>
      </c>
      <c r="O31">
        <v>2021</v>
      </c>
      <c r="P31" s="7">
        <v>77.5</v>
      </c>
      <c r="Q31" s="7">
        <v>36.299999999999997</v>
      </c>
      <c r="R31" s="7">
        <v>34.4</v>
      </c>
      <c r="S31" s="7">
        <v>60.7</v>
      </c>
      <c r="T31" s="7">
        <v>58.9</v>
      </c>
      <c r="U31" s="7">
        <v>18.399999999999999</v>
      </c>
      <c r="V31" s="7">
        <v>96.7</v>
      </c>
      <c r="W31" s="7">
        <v>74.3</v>
      </c>
      <c r="X31" s="7">
        <v>21.1</v>
      </c>
      <c r="Y31" s="7">
        <v>72.900000000000006</v>
      </c>
      <c r="Z31" s="7">
        <v>71</v>
      </c>
      <c r="AA31" s="7">
        <v>75.599999999999994</v>
      </c>
    </row>
    <row r="32" spans="1:27" x14ac:dyDescent="0.25">
      <c r="A32">
        <v>2022</v>
      </c>
      <c r="B32" s="19">
        <v>1.8</v>
      </c>
      <c r="C32" s="19">
        <v>5.3</v>
      </c>
      <c r="D32" s="19">
        <v>5.6</v>
      </c>
      <c r="E32" s="19">
        <v>10.7</v>
      </c>
      <c r="F32" s="19">
        <v>19</v>
      </c>
      <c r="G32" s="19">
        <v>23.3</v>
      </c>
      <c r="H32" s="19">
        <v>23.8</v>
      </c>
      <c r="I32" s="19">
        <v>23.7</v>
      </c>
      <c r="J32" s="19">
        <v>16.899999999999999</v>
      </c>
      <c r="K32" s="19">
        <v>13.6</v>
      </c>
      <c r="L32" s="19">
        <v>7.9</v>
      </c>
      <c r="M32" s="19">
        <v>4.9000000000000004</v>
      </c>
      <c r="O32">
        <v>2022</v>
      </c>
      <c r="P32" s="7">
        <v>7.5</v>
      </c>
      <c r="Q32" s="7">
        <v>28.7</v>
      </c>
      <c r="R32" s="7">
        <v>6.4</v>
      </c>
      <c r="S32" s="7">
        <v>35</v>
      </c>
      <c r="T32" s="7">
        <v>66</v>
      </c>
      <c r="U32" s="7">
        <v>77.2</v>
      </c>
      <c r="V32" s="7">
        <v>19.2</v>
      </c>
      <c r="W32" s="7">
        <v>30.8</v>
      </c>
      <c r="X32" s="7">
        <v>148.4</v>
      </c>
      <c r="Y32" s="7">
        <v>10.8</v>
      </c>
      <c r="Z32" s="7">
        <v>78.7</v>
      </c>
      <c r="AA32" s="7">
        <v>77.2</v>
      </c>
    </row>
    <row r="33" spans="1:27" x14ac:dyDescent="0.25">
      <c r="A33">
        <v>2023</v>
      </c>
      <c r="B33" s="19">
        <v>4.7</v>
      </c>
      <c r="C33" s="19">
        <v>4</v>
      </c>
      <c r="D33" s="19">
        <v>8.9</v>
      </c>
      <c r="E33" s="19">
        <v>10.8</v>
      </c>
      <c r="F33" s="19">
        <v>17</v>
      </c>
      <c r="G33" s="19">
        <v>21.3</v>
      </c>
      <c r="H33" s="19">
        <v>24.3</v>
      </c>
      <c r="I33" s="19">
        <v>23.3</v>
      </c>
      <c r="J33" s="19">
        <v>20.8</v>
      </c>
      <c r="K33" s="19">
        <v>15.9</v>
      </c>
      <c r="L33" s="19">
        <v>8</v>
      </c>
      <c r="M33" s="19">
        <v>4.5999999999999996</v>
      </c>
      <c r="O33">
        <v>2023</v>
      </c>
      <c r="P33" s="7">
        <v>77.400000000000006</v>
      </c>
      <c r="Q33" s="7">
        <v>57.8</v>
      </c>
      <c r="R33" s="7">
        <v>37.1</v>
      </c>
      <c r="S33" s="7">
        <v>127.7</v>
      </c>
      <c r="T33" s="7">
        <v>118.1</v>
      </c>
      <c r="U33" s="7">
        <v>80.599999999999994</v>
      </c>
      <c r="V33" s="7">
        <v>63.6</v>
      </c>
      <c r="W33" s="7">
        <v>48.6</v>
      </c>
      <c r="X33" s="7">
        <v>41.7</v>
      </c>
      <c r="Y33" s="7">
        <v>32.9</v>
      </c>
      <c r="Z33" s="7">
        <v>126.7</v>
      </c>
      <c r="AA33" s="7">
        <v>58.2</v>
      </c>
    </row>
    <row r="34" spans="1:27" x14ac:dyDescent="0.25">
      <c r="A34">
        <v>2024</v>
      </c>
      <c r="B34">
        <v>2.4</v>
      </c>
      <c r="C34">
        <v>9.3000000000000007</v>
      </c>
      <c r="D34">
        <v>11.3</v>
      </c>
      <c r="E34">
        <v>14.7</v>
      </c>
      <c r="F34">
        <v>18.7</v>
      </c>
      <c r="G34">
        <v>23.4</v>
      </c>
      <c r="H34">
        <v>25.7</v>
      </c>
      <c r="I34">
        <v>26.4</v>
      </c>
      <c r="J34">
        <v>18.600000000000001</v>
      </c>
      <c r="K34">
        <v>13.4</v>
      </c>
      <c r="L34">
        <v>4.9000000000000004</v>
      </c>
      <c r="M34">
        <v>2.7</v>
      </c>
      <c r="O34">
        <v>2024</v>
      </c>
      <c r="P34">
        <v>42.8</v>
      </c>
      <c r="Q34">
        <v>12.9</v>
      </c>
      <c r="R34">
        <v>20.3</v>
      </c>
      <c r="S34">
        <v>24.7</v>
      </c>
      <c r="T34">
        <v>98.3</v>
      </c>
      <c r="U34">
        <v>86.3</v>
      </c>
      <c r="V34">
        <v>55.7</v>
      </c>
      <c r="W34">
        <v>7</v>
      </c>
      <c r="X34">
        <v>111.8</v>
      </c>
      <c r="Y34">
        <v>48.2</v>
      </c>
      <c r="Z34">
        <v>64.5</v>
      </c>
      <c r="AA34">
        <v>59.5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9EF8-B536-4C5B-A0E7-CB671DEA448D}">
  <dimension ref="A1:AA40"/>
  <sheetViews>
    <sheetView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-0.66000000000000025</v>
      </c>
      <c r="C2" s="4">
        <f t="shared" ref="C2:L2" si="0">AVERAGE(C5:C46)</f>
        <v>0.4499999999999999</v>
      </c>
      <c r="D2" s="4">
        <f t="shared" si="0"/>
        <v>3.2333333333333334</v>
      </c>
      <c r="E2" s="4">
        <f t="shared" si="0"/>
        <v>7.4966666666666679</v>
      </c>
      <c r="F2" s="4">
        <f t="shared" si="0"/>
        <v>12.080000000000002</v>
      </c>
      <c r="G2" s="4">
        <f t="shared" si="0"/>
        <v>16.286666666666669</v>
      </c>
      <c r="H2" s="4">
        <f t="shared" si="0"/>
        <v>18.089999999999996</v>
      </c>
      <c r="I2" s="4">
        <f t="shared" si="0"/>
        <v>17.610000000000003</v>
      </c>
      <c r="J2" s="4">
        <f t="shared" si="0"/>
        <v>12.653333333333329</v>
      </c>
      <c r="K2" s="4">
        <f t="shared" si="0"/>
        <v>9.0066666666666659</v>
      </c>
      <c r="L2" s="4">
        <f t="shared" si="0"/>
        <v>4.2866666666666662</v>
      </c>
      <c r="M2" s="4">
        <f>AVERAGE(M5:M46)</f>
        <v>0.47666666666666668</v>
      </c>
      <c r="O2" s="30"/>
      <c r="P2" s="4">
        <f>AVERAGE(P5:P46)</f>
        <v>93.99</v>
      </c>
      <c r="Q2" s="4">
        <f t="shared" ref="Q2:Z2" si="1">AVERAGE(Q5:Q46)</f>
        <v>96.483333333333348</v>
      </c>
      <c r="R2" s="4">
        <f t="shared" si="1"/>
        <v>80.326666666666668</v>
      </c>
      <c r="S2" s="4">
        <f t="shared" si="1"/>
        <v>86.44</v>
      </c>
      <c r="T2" s="4">
        <f t="shared" si="1"/>
        <v>110.37999999999998</v>
      </c>
      <c r="U2" s="4">
        <f t="shared" si="1"/>
        <v>95.949999999999989</v>
      </c>
      <c r="V2" s="4">
        <f t="shared" si="1"/>
        <v>81.176666666666648</v>
      </c>
      <c r="W2" s="4">
        <f t="shared" si="1"/>
        <v>105.25333333333333</v>
      </c>
      <c r="X2" s="4">
        <f t="shared" si="1"/>
        <v>145.56333333333333</v>
      </c>
      <c r="Y2" s="4">
        <f t="shared" si="1"/>
        <v>131.65666666666667</v>
      </c>
      <c r="Z2" s="4">
        <f t="shared" si="1"/>
        <v>179.60333333333332</v>
      </c>
      <c r="AA2" s="4">
        <f>AVERAGE(AA5:AA46)</f>
        <v>128.68666666666664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-1.8</v>
      </c>
      <c r="C5" s="2">
        <v>3.1</v>
      </c>
      <c r="D5" s="2">
        <v>0.5</v>
      </c>
      <c r="E5" s="2">
        <v>6.8</v>
      </c>
      <c r="F5" s="2">
        <v>10.8</v>
      </c>
      <c r="G5" s="2">
        <v>12.6</v>
      </c>
      <c r="H5" s="2">
        <v>18.399999999999999</v>
      </c>
      <c r="I5" s="2">
        <v>14.7</v>
      </c>
      <c r="J5" s="2">
        <v>10.6</v>
      </c>
      <c r="K5" s="2">
        <v>10.199999999999999</v>
      </c>
      <c r="L5" s="2">
        <v>2.7</v>
      </c>
      <c r="M5" s="2">
        <v>-1.9</v>
      </c>
      <c r="O5">
        <v>1995</v>
      </c>
      <c r="P5" s="2">
        <v>97.3</v>
      </c>
      <c r="Q5" s="2">
        <v>101.9</v>
      </c>
      <c r="R5" s="2">
        <v>149.6</v>
      </c>
      <c r="S5" s="2">
        <v>16.399999999999999</v>
      </c>
      <c r="T5" s="2">
        <v>86.8</v>
      </c>
      <c r="U5" s="2">
        <v>162.80000000000001</v>
      </c>
      <c r="V5" s="2">
        <v>33.4</v>
      </c>
      <c r="W5" s="2">
        <v>57</v>
      </c>
      <c r="X5" s="2">
        <v>111.6</v>
      </c>
      <c r="Y5" s="2">
        <v>37.799999999999997</v>
      </c>
      <c r="Z5" s="2">
        <v>39.299999999999997</v>
      </c>
      <c r="AA5" s="2">
        <v>149.4</v>
      </c>
    </row>
    <row r="6" spans="1:27" x14ac:dyDescent="0.25">
      <c r="A6">
        <v>1996</v>
      </c>
      <c r="B6" s="2">
        <v>-3.4</v>
      </c>
      <c r="C6" s="2">
        <v>-3.9</v>
      </c>
      <c r="D6" s="2">
        <v>-1.1000000000000001</v>
      </c>
      <c r="E6" s="2">
        <v>6.1</v>
      </c>
      <c r="F6" s="2">
        <v>11.2</v>
      </c>
      <c r="G6" s="2">
        <v>14.9</v>
      </c>
      <c r="H6" s="2">
        <v>14.7</v>
      </c>
      <c r="I6" s="2">
        <v>15.4</v>
      </c>
      <c r="J6" s="2">
        <v>9.1</v>
      </c>
      <c r="K6" s="2">
        <v>7.7</v>
      </c>
      <c r="L6" s="2">
        <v>4.9000000000000004</v>
      </c>
      <c r="M6" s="2">
        <v>-2.7</v>
      </c>
      <c r="O6">
        <v>1996</v>
      </c>
      <c r="P6" s="2">
        <v>93.9</v>
      </c>
      <c r="Q6" s="2">
        <v>76.099999999999994</v>
      </c>
      <c r="R6" s="2">
        <v>12</v>
      </c>
      <c r="S6" s="2">
        <v>63.6</v>
      </c>
      <c r="T6" s="2">
        <v>101.4</v>
      </c>
      <c r="U6" s="2">
        <v>126.6</v>
      </c>
      <c r="V6" s="2">
        <v>26.6</v>
      </c>
      <c r="W6" s="2">
        <v>81.599999999999994</v>
      </c>
      <c r="X6" s="2">
        <v>157.1</v>
      </c>
      <c r="Y6" s="2">
        <v>159</v>
      </c>
      <c r="Z6" s="2">
        <v>168.9</v>
      </c>
      <c r="AA6" s="2">
        <v>112</v>
      </c>
    </row>
    <row r="7" spans="1:27" x14ac:dyDescent="0.25">
      <c r="A7">
        <v>1997</v>
      </c>
      <c r="B7" s="2">
        <v>-2.1</v>
      </c>
      <c r="C7" s="2">
        <v>2.4</v>
      </c>
      <c r="D7" s="2">
        <v>3.5</v>
      </c>
      <c r="E7" s="2">
        <v>3.5</v>
      </c>
      <c r="F7" s="2">
        <v>12.1</v>
      </c>
      <c r="G7" s="2">
        <v>14.5</v>
      </c>
      <c r="H7" s="2">
        <v>15.9</v>
      </c>
      <c r="I7" s="2">
        <v>15.9</v>
      </c>
      <c r="J7" s="2">
        <v>12.5</v>
      </c>
      <c r="K7" s="2">
        <v>6</v>
      </c>
      <c r="L7" s="2">
        <v>3.4</v>
      </c>
      <c r="M7" s="2">
        <v>0.4</v>
      </c>
      <c r="O7">
        <v>1997</v>
      </c>
      <c r="P7" s="2">
        <v>125.9</v>
      </c>
      <c r="Q7" s="2">
        <v>23.7</v>
      </c>
      <c r="R7" s="2">
        <v>32.299999999999997</v>
      </c>
      <c r="S7" s="2">
        <v>81.2</v>
      </c>
      <c r="T7" s="2">
        <v>47.6</v>
      </c>
      <c r="U7" s="2">
        <v>85.6</v>
      </c>
      <c r="V7" s="2">
        <v>141.4</v>
      </c>
      <c r="W7" s="2">
        <v>100.4</v>
      </c>
      <c r="X7" s="2">
        <v>47.8</v>
      </c>
      <c r="Y7" s="2">
        <v>31.7</v>
      </c>
      <c r="Z7" s="2">
        <v>231.5</v>
      </c>
      <c r="AA7" s="2">
        <v>169.4</v>
      </c>
    </row>
    <row r="8" spans="1:27" x14ac:dyDescent="0.25">
      <c r="A8">
        <v>1998</v>
      </c>
      <c r="B8" s="2">
        <v>0.7</v>
      </c>
      <c r="C8" s="2">
        <v>3.3</v>
      </c>
      <c r="D8" s="2">
        <v>1.8</v>
      </c>
      <c r="E8" s="2">
        <v>6.5</v>
      </c>
      <c r="F8" s="2">
        <v>11.2</v>
      </c>
      <c r="G8" s="2">
        <v>15.7</v>
      </c>
      <c r="H8" s="2">
        <v>17.100000000000001</v>
      </c>
      <c r="I8" s="2">
        <v>17.2</v>
      </c>
      <c r="J8" s="2">
        <v>11.6</v>
      </c>
      <c r="K8" s="2">
        <v>8.1</v>
      </c>
      <c r="L8" s="2">
        <v>-0.5</v>
      </c>
      <c r="M8" s="2">
        <v>-2.5</v>
      </c>
      <c r="O8">
        <v>1998</v>
      </c>
      <c r="P8" s="2">
        <v>47.4</v>
      </c>
      <c r="Q8" s="2">
        <v>1.3</v>
      </c>
      <c r="R8" s="2">
        <v>6.9</v>
      </c>
      <c r="S8" s="2">
        <v>130.4</v>
      </c>
      <c r="T8" s="2">
        <v>49.7</v>
      </c>
      <c r="U8" s="2">
        <v>75</v>
      </c>
      <c r="V8" s="2">
        <v>133.1</v>
      </c>
      <c r="W8" s="2">
        <v>89.8</v>
      </c>
      <c r="X8" s="2">
        <v>158.69999999999999</v>
      </c>
      <c r="Y8" s="2">
        <v>215.7</v>
      </c>
      <c r="Z8" s="2">
        <v>66.099999999999994</v>
      </c>
      <c r="AA8" s="2">
        <v>36.4</v>
      </c>
    </row>
    <row r="9" spans="1:27" x14ac:dyDescent="0.25">
      <c r="A9">
        <v>1999</v>
      </c>
      <c r="B9" s="2">
        <v>0.2</v>
      </c>
      <c r="C9" s="2">
        <v>-1.5</v>
      </c>
      <c r="D9" s="2">
        <v>3.4</v>
      </c>
      <c r="E9" s="2">
        <v>7.4</v>
      </c>
      <c r="F9" s="2">
        <v>12.3</v>
      </c>
      <c r="G9" s="2">
        <v>15</v>
      </c>
      <c r="H9" s="2">
        <v>16.899999999999999</v>
      </c>
      <c r="I9" s="2">
        <v>16.8</v>
      </c>
      <c r="J9" s="2">
        <v>14.9</v>
      </c>
      <c r="K9" s="2">
        <v>8.8000000000000007</v>
      </c>
      <c r="L9" s="2">
        <v>1.1000000000000001</v>
      </c>
      <c r="M9" s="2">
        <v>-0.3</v>
      </c>
      <c r="O9">
        <v>1999</v>
      </c>
      <c r="P9" s="16">
        <v>62.6</v>
      </c>
      <c r="Q9" s="16">
        <v>42.7</v>
      </c>
      <c r="R9" s="16">
        <v>71</v>
      </c>
      <c r="S9" s="16">
        <v>187.7</v>
      </c>
      <c r="T9" s="16">
        <v>82.6</v>
      </c>
      <c r="U9" s="16">
        <v>93.5</v>
      </c>
      <c r="V9" s="16">
        <v>77.5</v>
      </c>
      <c r="W9" s="16">
        <v>22.9</v>
      </c>
      <c r="X9" s="16">
        <v>131</v>
      </c>
      <c r="Y9" s="16">
        <v>51</v>
      </c>
      <c r="Z9" s="16">
        <v>129.6</v>
      </c>
      <c r="AA9" s="16">
        <v>113.9</v>
      </c>
    </row>
    <row r="10" spans="1:27" x14ac:dyDescent="0.25">
      <c r="A10">
        <v>2000</v>
      </c>
      <c r="B10" s="16">
        <v>-2.1</v>
      </c>
      <c r="C10" s="16">
        <v>1.7</v>
      </c>
      <c r="D10" s="16">
        <v>3.2</v>
      </c>
      <c r="E10" s="16">
        <v>9.6</v>
      </c>
      <c r="F10" s="16">
        <v>13.1</v>
      </c>
      <c r="G10" s="16">
        <v>16.8</v>
      </c>
      <c r="H10" s="16">
        <v>15.7</v>
      </c>
      <c r="I10" s="16">
        <v>18.5</v>
      </c>
      <c r="J10" s="16">
        <v>13</v>
      </c>
      <c r="K10" s="16">
        <v>10.3</v>
      </c>
      <c r="L10" s="16">
        <v>6.4</v>
      </c>
      <c r="M10" s="16">
        <v>3.3</v>
      </c>
      <c r="O10">
        <v>2000</v>
      </c>
      <c r="P10" s="16">
        <v>1.8</v>
      </c>
      <c r="Q10" s="16">
        <v>27.4</v>
      </c>
      <c r="R10" s="16">
        <v>100.3</v>
      </c>
      <c r="S10" s="16">
        <v>54.8</v>
      </c>
      <c r="T10" s="16">
        <v>62.3</v>
      </c>
      <c r="U10" s="16">
        <v>16.2</v>
      </c>
      <c r="V10" s="16">
        <v>81.099999999999994</v>
      </c>
      <c r="W10" s="16">
        <v>26.6</v>
      </c>
      <c r="X10" s="16">
        <v>42.9</v>
      </c>
      <c r="Y10" s="16">
        <v>140.9</v>
      </c>
      <c r="Z10" s="16">
        <v>358.7</v>
      </c>
      <c r="AA10" s="16">
        <v>127.1</v>
      </c>
    </row>
    <row r="11" spans="1:27" x14ac:dyDescent="0.25">
      <c r="A11">
        <v>2001</v>
      </c>
      <c r="B11" s="16">
        <v>0.2</v>
      </c>
      <c r="C11" s="16">
        <v>0.8</v>
      </c>
      <c r="D11" s="16">
        <v>5.6</v>
      </c>
      <c r="E11" s="16">
        <v>6.6</v>
      </c>
      <c r="F11" s="16">
        <v>13.8</v>
      </c>
      <c r="G11" s="16">
        <v>14.4</v>
      </c>
      <c r="H11" s="16">
        <v>17.5</v>
      </c>
      <c r="I11" s="16">
        <v>19.3</v>
      </c>
      <c r="J11" s="16">
        <v>10.4</v>
      </c>
      <c r="K11" s="16">
        <v>11.5</v>
      </c>
      <c r="L11" s="16">
        <v>1.4</v>
      </c>
      <c r="M11" s="16">
        <v>-4</v>
      </c>
      <c r="O11">
        <v>2001</v>
      </c>
      <c r="P11" s="16">
        <v>141.6</v>
      </c>
      <c r="Q11" s="16">
        <v>7.2</v>
      </c>
      <c r="R11" s="16">
        <v>123.2</v>
      </c>
      <c r="S11" s="16">
        <v>87.9</v>
      </c>
      <c r="T11" s="16">
        <v>28.1</v>
      </c>
      <c r="U11" s="16">
        <v>79</v>
      </c>
      <c r="V11" s="16">
        <v>54.5</v>
      </c>
      <c r="W11" s="16">
        <v>13.3</v>
      </c>
      <c r="X11" s="16">
        <v>143</v>
      </c>
      <c r="Y11" s="16">
        <v>34.9</v>
      </c>
      <c r="Z11" s="16">
        <v>60.1</v>
      </c>
      <c r="AA11" s="16">
        <v>18.2</v>
      </c>
    </row>
    <row r="12" spans="1:27" x14ac:dyDescent="0.25">
      <c r="A12">
        <v>2002</v>
      </c>
      <c r="B12" s="17">
        <v>-1.2</v>
      </c>
      <c r="C12" s="17">
        <v>3.3</v>
      </c>
      <c r="D12" s="17">
        <v>5.6</v>
      </c>
      <c r="E12" s="17">
        <v>5.5</v>
      </c>
      <c r="F12" s="17">
        <v>13.2</v>
      </c>
      <c r="G12" s="17">
        <v>17.3</v>
      </c>
      <c r="H12" s="17">
        <v>17.7</v>
      </c>
      <c r="I12" s="17">
        <v>17.2</v>
      </c>
      <c r="J12" s="17">
        <v>11.6</v>
      </c>
      <c r="K12" s="17">
        <v>8.6</v>
      </c>
      <c r="L12" s="17">
        <v>6.9</v>
      </c>
      <c r="M12" s="17">
        <v>-0.9</v>
      </c>
      <c r="O12">
        <v>2002</v>
      </c>
      <c r="P12" s="17">
        <v>24</v>
      </c>
      <c r="Q12" s="17">
        <v>84</v>
      </c>
      <c r="R12" s="17">
        <v>1</v>
      </c>
      <c r="S12" s="17">
        <v>106</v>
      </c>
      <c r="T12" s="17">
        <v>76</v>
      </c>
      <c r="U12" s="17">
        <v>164</v>
      </c>
      <c r="V12" s="17">
        <v>45</v>
      </c>
      <c r="W12" s="17">
        <v>281</v>
      </c>
      <c r="X12" s="17">
        <v>188</v>
      </c>
      <c r="Y12" s="17">
        <v>105</v>
      </c>
      <c r="Z12" s="17">
        <v>228</v>
      </c>
      <c r="AA12" s="17">
        <v>53</v>
      </c>
    </row>
    <row r="13" spans="1:27" x14ac:dyDescent="0.25">
      <c r="A13">
        <v>2003</v>
      </c>
      <c r="B13" s="17">
        <v>-2</v>
      </c>
      <c r="C13" s="17">
        <v>-4.7</v>
      </c>
      <c r="D13" s="17">
        <v>3.7</v>
      </c>
      <c r="E13" s="17">
        <v>6.1</v>
      </c>
      <c r="F13" s="17">
        <v>15.2</v>
      </c>
      <c r="G13" s="17">
        <v>19</v>
      </c>
      <c r="H13" s="17">
        <v>18.600000000000001</v>
      </c>
      <c r="I13" s="17">
        <v>20.8</v>
      </c>
      <c r="J13" s="17">
        <v>12.3</v>
      </c>
      <c r="K13" s="17">
        <v>5.7</v>
      </c>
      <c r="L13" s="17">
        <v>5.3</v>
      </c>
      <c r="M13" s="17">
        <v>1.1000000000000001</v>
      </c>
      <c r="O13">
        <v>2003</v>
      </c>
      <c r="P13" s="17">
        <v>106.4</v>
      </c>
      <c r="Q13" s="17">
        <v>44.7</v>
      </c>
      <c r="R13" s="17">
        <v>5.2</v>
      </c>
      <c r="S13" s="17">
        <v>77.599999999999994</v>
      </c>
      <c r="T13" s="17">
        <v>31.8</v>
      </c>
      <c r="U13" s="17">
        <v>93.2</v>
      </c>
      <c r="V13" s="17">
        <v>45.2</v>
      </c>
      <c r="W13" s="17">
        <v>34</v>
      </c>
      <c r="X13" s="17">
        <v>85.2</v>
      </c>
      <c r="Y13" s="17">
        <v>94.9</v>
      </c>
      <c r="Z13" s="17">
        <v>129.5</v>
      </c>
      <c r="AA13" s="17">
        <v>104.3</v>
      </c>
    </row>
    <row r="14" spans="1:27" x14ac:dyDescent="0.25">
      <c r="A14">
        <v>2004</v>
      </c>
      <c r="B14" s="16">
        <v>-2.2999999999999998</v>
      </c>
      <c r="C14" s="16">
        <v>0.3</v>
      </c>
      <c r="D14" s="16">
        <v>0.8</v>
      </c>
      <c r="E14" s="16">
        <v>6.2</v>
      </c>
      <c r="F14" s="16">
        <v>10</v>
      </c>
      <c r="G14" s="16">
        <v>14.7</v>
      </c>
      <c r="H14" s="16">
        <v>17.100000000000001</v>
      </c>
      <c r="I14" s="16">
        <v>16.600000000000001</v>
      </c>
      <c r="J14" s="16">
        <v>12.2</v>
      </c>
      <c r="K14" s="16">
        <v>10.8</v>
      </c>
      <c r="L14" s="16">
        <v>3.4</v>
      </c>
      <c r="M14" s="16">
        <v>-0.2</v>
      </c>
      <c r="O14">
        <v>2004</v>
      </c>
      <c r="P14" s="16">
        <v>69.400000000000006</v>
      </c>
      <c r="Q14" s="16">
        <v>94.6</v>
      </c>
      <c r="R14" s="16">
        <v>35.1</v>
      </c>
      <c r="S14" s="16">
        <v>83.3</v>
      </c>
      <c r="T14" s="16">
        <v>145.80000000000001</v>
      </c>
      <c r="U14" s="16">
        <v>41.4</v>
      </c>
      <c r="V14" s="16">
        <v>25.5</v>
      </c>
      <c r="W14" s="16">
        <v>65.2</v>
      </c>
      <c r="X14" s="16">
        <v>48.9</v>
      </c>
      <c r="Y14" s="16">
        <v>159.9</v>
      </c>
      <c r="Z14" s="16">
        <v>87.6</v>
      </c>
      <c r="AA14" s="16">
        <v>161.30000000000001</v>
      </c>
    </row>
    <row r="15" spans="1:27" x14ac:dyDescent="0.25">
      <c r="A15">
        <v>2005</v>
      </c>
      <c r="B15" s="16">
        <v>-1.5</v>
      </c>
      <c r="C15" s="16">
        <v>-4.2</v>
      </c>
      <c r="D15" s="16">
        <v>1.8</v>
      </c>
      <c r="E15" s="16">
        <v>6.8</v>
      </c>
      <c r="F15" s="16">
        <v>12.4</v>
      </c>
      <c r="G15" s="16">
        <v>15.5</v>
      </c>
      <c r="H15" s="16">
        <v>17.2</v>
      </c>
      <c r="I15" s="16">
        <v>14.5</v>
      </c>
      <c r="J15" s="16">
        <v>12.9</v>
      </c>
      <c r="K15" s="16">
        <v>8.9</v>
      </c>
      <c r="L15" s="16">
        <v>2.7</v>
      </c>
      <c r="M15" s="16">
        <v>-1.3</v>
      </c>
      <c r="O15">
        <v>2005</v>
      </c>
      <c r="P15" s="16">
        <v>24.4</v>
      </c>
      <c r="Q15" s="16">
        <v>38.1</v>
      </c>
      <c r="R15" s="16">
        <v>89.7</v>
      </c>
      <c r="S15" s="16">
        <v>99.4</v>
      </c>
      <c r="T15" s="16">
        <v>89.2</v>
      </c>
      <c r="U15" s="16">
        <v>57.2</v>
      </c>
      <c r="V15" s="16">
        <v>46.1</v>
      </c>
      <c r="W15" s="16">
        <v>214</v>
      </c>
      <c r="X15" s="16">
        <v>83.9</v>
      </c>
      <c r="Y15" s="16">
        <v>116.6</v>
      </c>
      <c r="Z15" s="16">
        <v>125.4</v>
      </c>
      <c r="AA15" s="16">
        <v>87.5</v>
      </c>
    </row>
    <row r="16" spans="1:27" x14ac:dyDescent="0.25">
      <c r="A16">
        <v>2006</v>
      </c>
      <c r="B16" s="16">
        <v>-3.8</v>
      </c>
      <c r="C16" s="16">
        <v>-1.8</v>
      </c>
      <c r="D16" s="16">
        <v>0.9</v>
      </c>
      <c r="E16" s="16">
        <v>7.6</v>
      </c>
      <c r="F16" s="16">
        <v>11.6</v>
      </c>
      <c r="G16" s="16">
        <v>16.3</v>
      </c>
      <c r="H16" s="16">
        <v>19.8</v>
      </c>
      <c r="I16" s="16">
        <v>14.2</v>
      </c>
      <c r="J16" s="16">
        <v>14.1</v>
      </c>
      <c r="K16" s="16">
        <v>10.6</v>
      </c>
      <c r="L16" s="16">
        <v>6.4</v>
      </c>
      <c r="M16" s="16">
        <v>2.5</v>
      </c>
      <c r="O16">
        <v>2006</v>
      </c>
      <c r="P16" s="16">
        <v>82</v>
      </c>
      <c r="Q16" s="16">
        <v>71.2</v>
      </c>
      <c r="R16" s="16">
        <v>108.7</v>
      </c>
      <c r="S16" s="16">
        <v>61.4</v>
      </c>
      <c r="T16" s="16">
        <v>161.19999999999999</v>
      </c>
      <c r="U16" s="16">
        <v>6.6</v>
      </c>
      <c r="V16" s="16">
        <v>24.4</v>
      </c>
      <c r="W16" s="16">
        <v>242.7</v>
      </c>
      <c r="X16" s="16">
        <v>90.1</v>
      </c>
      <c r="Y16" s="16">
        <v>28.6</v>
      </c>
      <c r="Z16" s="16">
        <v>83.6</v>
      </c>
      <c r="AA16" s="16">
        <v>71.400000000000006</v>
      </c>
    </row>
    <row r="17" spans="1:27" x14ac:dyDescent="0.25">
      <c r="A17">
        <v>2007</v>
      </c>
      <c r="B17" s="16">
        <v>3.3</v>
      </c>
      <c r="C17" s="16">
        <v>3.3</v>
      </c>
      <c r="D17" s="16">
        <v>4.7</v>
      </c>
      <c r="E17" s="16">
        <v>10.5</v>
      </c>
      <c r="F17" s="16">
        <v>13.2</v>
      </c>
      <c r="G17" s="16">
        <v>16.8</v>
      </c>
      <c r="H17" s="16">
        <v>18.5</v>
      </c>
      <c r="I17" s="16">
        <v>16.8</v>
      </c>
      <c r="J17" s="16">
        <v>10.7</v>
      </c>
      <c r="K17" s="16">
        <v>6.7</v>
      </c>
      <c r="L17" s="16">
        <v>2.2000000000000002</v>
      </c>
      <c r="M17" s="16">
        <v>-1.4</v>
      </c>
      <c r="O17">
        <v>2007</v>
      </c>
      <c r="P17" s="16">
        <v>70.7</v>
      </c>
      <c r="Q17" s="16">
        <v>117.1</v>
      </c>
      <c r="R17" s="16">
        <v>75</v>
      </c>
      <c r="S17" s="16">
        <v>13.7</v>
      </c>
      <c r="T17" s="16">
        <v>134.30000000000001</v>
      </c>
      <c r="U17" s="16">
        <v>89</v>
      </c>
      <c r="V17" s="16">
        <v>17.100000000000001</v>
      </c>
      <c r="W17" s="16">
        <v>94.3</v>
      </c>
      <c r="X17" s="16">
        <v>179.9</v>
      </c>
      <c r="Y17" s="16">
        <v>71.400000000000006</v>
      </c>
      <c r="Z17" s="16">
        <v>18.399999999999999</v>
      </c>
      <c r="AA17" s="16">
        <v>51.7</v>
      </c>
    </row>
    <row r="18" spans="1:27" x14ac:dyDescent="0.25">
      <c r="A18">
        <v>2008</v>
      </c>
      <c r="B18" s="16">
        <v>2.1</v>
      </c>
      <c r="C18" s="16">
        <v>1.9</v>
      </c>
      <c r="D18" s="16">
        <v>2.5</v>
      </c>
      <c r="E18" s="16">
        <v>6.8</v>
      </c>
      <c r="F18" s="16">
        <v>12.6</v>
      </c>
      <c r="G18" s="16">
        <v>16.2</v>
      </c>
      <c r="H18" s="16">
        <v>17.399999999999999</v>
      </c>
      <c r="I18" s="16">
        <v>16.899999999999999</v>
      </c>
      <c r="J18" s="16">
        <v>11.1</v>
      </c>
      <c r="K18" s="16">
        <v>9.5</v>
      </c>
      <c r="L18" s="16">
        <v>4.4000000000000004</v>
      </c>
      <c r="M18" s="16">
        <v>-0.4</v>
      </c>
      <c r="O18">
        <v>2008</v>
      </c>
      <c r="P18" s="16">
        <v>75.099999999999994</v>
      </c>
      <c r="Q18" s="16">
        <v>32.4</v>
      </c>
      <c r="R18" s="16">
        <v>96.9</v>
      </c>
      <c r="S18" s="16">
        <v>106.6</v>
      </c>
      <c r="T18" s="16">
        <v>43.1</v>
      </c>
      <c r="U18" s="16">
        <v>64.2</v>
      </c>
      <c r="V18" s="16">
        <v>53.3</v>
      </c>
      <c r="W18" s="16">
        <v>50.6</v>
      </c>
      <c r="X18" s="16">
        <v>21.6</v>
      </c>
      <c r="Y18" s="16">
        <v>76.2</v>
      </c>
      <c r="Z18" s="16">
        <v>158.6</v>
      </c>
      <c r="AA18" s="16">
        <v>288.8</v>
      </c>
    </row>
    <row r="19" spans="1:27" x14ac:dyDescent="0.25">
      <c r="A19">
        <v>2009</v>
      </c>
      <c r="B19" s="16">
        <v>-3.5</v>
      </c>
      <c r="C19" s="16">
        <v>-0.5</v>
      </c>
      <c r="D19" s="16">
        <v>3.1</v>
      </c>
      <c r="E19" s="16">
        <v>9.4</v>
      </c>
      <c r="F19" s="16">
        <v>14.1</v>
      </c>
      <c r="G19" s="16">
        <v>15</v>
      </c>
      <c r="H19" s="16">
        <v>18</v>
      </c>
      <c r="I19" s="16">
        <v>18.399999999999999</v>
      </c>
      <c r="J19" s="16">
        <v>14.1</v>
      </c>
      <c r="K19" s="16">
        <v>7.9</v>
      </c>
      <c r="L19" s="16">
        <v>6.1</v>
      </c>
      <c r="M19" s="16">
        <v>0</v>
      </c>
      <c r="O19">
        <v>2009</v>
      </c>
      <c r="P19" s="16">
        <v>94.9</v>
      </c>
      <c r="Q19" s="16">
        <v>141</v>
      </c>
      <c r="R19" s="16">
        <v>136.1</v>
      </c>
      <c r="S19" s="16">
        <v>86.9</v>
      </c>
      <c r="T19" s="16">
        <v>16.5</v>
      </c>
      <c r="U19" s="16">
        <v>134.1</v>
      </c>
      <c r="V19" s="16">
        <v>79.7</v>
      </c>
      <c r="W19" s="16">
        <v>57.4</v>
      </c>
      <c r="X19" s="16">
        <v>86</v>
      </c>
      <c r="Y19" s="16">
        <v>62.7</v>
      </c>
      <c r="Z19" s="16">
        <v>200.2</v>
      </c>
      <c r="AA19" s="16">
        <v>204.8</v>
      </c>
    </row>
    <row r="20" spans="1:27" x14ac:dyDescent="0.25">
      <c r="A20">
        <v>2010</v>
      </c>
      <c r="B20" s="16">
        <v>-4.2</v>
      </c>
      <c r="C20" s="16">
        <v>-0.8</v>
      </c>
      <c r="D20" s="16">
        <v>1.7</v>
      </c>
      <c r="E20" s="16">
        <v>7.4</v>
      </c>
      <c r="F20" s="16">
        <v>11</v>
      </c>
      <c r="G20" s="16">
        <v>16</v>
      </c>
      <c r="H20" s="16">
        <v>18.5</v>
      </c>
      <c r="I20" s="16">
        <v>16.5</v>
      </c>
      <c r="J20" s="16">
        <v>11.2</v>
      </c>
      <c r="K20" s="16">
        <v>6.2</v>
      </c>
      <c r="L20" s="16">
        <v>5.6</v>
      </c>
      <c r="M20" s="16">
        <v>-1.6</v>
      </c>
      <c r="O20">
        <v>2010</v>
      </c>
      <c r="P20" s="16">
        <v>131</v>
      </c>
      <c r="Q20" s="16">
        <v>134.1</v>
      </c>
      <c r="R20" s="16">
        <v>44.3</v>
      </c>
      <c r="S20" s="16">
        <v>55.9</v>
      </c>
      <c r="T20" s="16">
        <v>165.7</v>
      </c>
      <c r="U20" s="16">
        <v>125.6</v>
      </c>
      <c r="V20" s="16">
        <v>143.30000000000001</v>
      </c>
      <c r="W20" s="16">
        <v>130.1</v>
      </c>
      <c r="X20" s="16">
        <v>207.8</v>
      </c>
      <c r="Y20" s="16">
        <v>74.3</v>
      </c>
      <c r="Z20" s="16">
        <v>264.8</v>
      </c>
      <c r="AA20" s="16">
        <v>157.9</v>
      </c>
    </row>
    <row r="21" spans="1:27" x14ac:dyDescent="0.25">
      <c r="A21">
        <v>2011</v>
      </c>
      <c r="B21" s="16">
        <v>-0.6</v>
      </c>
      <c r="C21" s="16">
        <v>-0.9</v>
      </c>
      <c r="D21" s="16">
        <v>2.9</v>
      </c>
      <c r="E21" s="16">
        <v>9.8000000000000007</v>
      </c>
      <c r="F21" s="16">
        <v>12.6</v>
      </c>
      <c r="G21" s="16">
        <v>15.9</v>
      </c>
      <c r="H21" s="16">
        <v>16.899999999999999</v>
      </c>
      <c r="I21" s="16">
        <v>18.899999999999999</v>
      </c>
      <c r="J21" s="16">
        <v>15.8</v>
      </c>
      <c r="K21" s="16">
        <v>7</v>
      </c>
      <c r="L21" s="16">
        <v>2.7</v>
      </c>
      <c r="M21" s="16">
        <v>2.2000000000000002</v>
      </c>
      <c r="O21">
        <v>2011</v>
      </c>
      <c r="P21" s="16">
        <v>13.5</v>
      </c>
      <c r="Q21" s="16">
        <v>45.3</v>
      </c>
      <c r="R21" s="16">
        <v>122</v>
      </c>
      <c r="S21" s="16">
        <v>36.9</v>
      </c>
      <c r="T21" s="16">
        <v>98.3</v>
      </c>
      <c r="U21" s="16">
        <v>82.5</v>
      </c>
      <c r="V21" s="16">
        <v>148.1</v>
      </c>
      <c r="W21" s="16">
        <v>39</v>
      </c>
      <c r="X21" s="16">
        <v>82.9</v>
      </c>
      <c r="Y21" s="16">
        <v>85.6</v>
      </c>
      <c r="Z21" s="16">
        <v>36</v>
      </c>
      <c r="AA21" s="16">
        <v>46.4</v>
      </c>
    </row>
    <row r="22" spans="1:27" x14ac:dyDescent="0.25">
      <c r="A22">
        <v>2012</v>
      </c>
      <c r="B22" s="16">
        <v>-0.6</v>
      </c>
      <c r="C22" s="16">
        <v>-5</v>
      </c>
      <c r="D22" s="16">
        <v>6.6</v>
      </c>
      <c r="E22" s="16">
        <v>7.4</v>
      </c>
      <c r="F22" s="16">
        <v>11.8</v>
      </c>
      <c r="G22" s="16">
        <v>17.7</v>
      </c>
      <c r="H22" s="16">
        <v>19.399999999999999</v>
      </c>
      <c r="I22" s="16">
        <v>19.7</v>
      </c>
      <c r="J22" s="16">
        <v>13.4</v>
      </c>
      <c r="K22" s="16">
        <v>9.1999999999999993</v>
      </c>
      <c r="L22" s="16">
        <v>6.3</v>
      </c>
      <c r="M22" s="16">
        <v>-0.4</v>
      </c>
      <c r="O22">
        <v>2012</v>
      </c>
      <c r="P22" s="16">
        <v>20.399999999999999</v>
      </c>
      <c r="Q22" s="16">
        <v>12</v>
      </c>
      <c r="R22" s="16">
        <v>0.3</v>
      </c>
      <c r="S22" s="16">
        <v>60.5</v>
      </c>
      <c r="T22" s="16">
        <v>106.5</v>
      </c>
      <c r="U22" s="16">
        <v>40</v>
      </c>
      <c r="V22" s="16">
        <v>19.100000000000001</v>
      </c>
      <c r="W22" s="16">
        <v>15.1</v>
      </c>
      <c r="X22" s="16">
        <v>144.69999999999999</v>
      </c>
      <c r="Y22" s="16">
        <v>96.2</v>
      </c>
      <c r="Z22" s="16">
        <v>326.2</v>
      </c>
      <c r="AA22" s="16">
        <v>101</v>
      </c>
    </row>
    <row r="23" spans="1:27" x14ac:dyDescent="0.25">
      <c r="A23">
        <v>2013</v>
      </c>
      <c r="B23" s="16">
        <v>-0.1</v>
      </c>
      <c r="C23" s="16">
        <v>-2.4</v>
      </c>
      <c r="D23" s="16">
        <v>0.7</v>
      </c>
      <c r="E23" s="16">
        <v>8</v>
      </c>
      <c r="F23" s="16">
        <v>10.7</v>
      </c>
      <c r="G23" s="16">
        <v>15.6</v>
      </c>
      <c r="H23" s="16">
        <v>18.899999999999999</v>
      </c>
      <c r="I23" s="16">
        <v>18.600000000000001</v>
      </c>
      <c r="J23" s="16">
        <v>12.7</v>
      </c>
      <c r="K23" s="16">
        <v>9.8000000000000007</v>
      </c>
      <c r="L23" s="16">
        <v>4.0999999999999996</v>
      </c>
      <c r="M23" s="16">
        <v>2.5</v>
      </c>
      <c r="O23">
        <v>2013</v>
      </c>
      <c r="P23" s="16">
        <v>98</v>
      </c>
      <c r="Q23" s="16">
        <v>158.6</v>
      </c>
      <c r="R23" s="16">
        <v>184.7</v>
      </c>
      <c r="S23" s="16">
        <v>37.4</v>
      </c>
      <c r="T23" s="16">
        <v>165.8</v>
      </c>
      <c r="U23" s="16">
        <v>79</v>
      </c>
      <c r="V23" s="16">
        <v>43.7</v>
      </c>
      <c r="W23" s="16">
        <v>73.400000000000006</v>
      </c>
      <c r="X23" s="16">
        <v>116.3</v>
      </c>
      <c r="Y23" s="16">
        <v>133.1</v>
      </c>
      <c r="Z23" s="16">
        <v>170.3</v>
      </c>
      <c r="AA23" s="16">
        <v>45.6</v>
      </c>
    </row>
    <row r="24" spans="1:27" x14ac:dyDescent="0.25">
      <c r="A24">
        <v>2014</v>
      </c>
      <c r="B24" s="16">
        <v>2.7</v>
      </c>
      <c r="C24" s="16">
        <v>2.1</v>
      </c>
      <c r="D24" s="16">
        <v>6</v>
      </c>
      <c r="E24" s="16">
        <v>8.9</v>
      </c>
      <c r="F24" s="16">
        <v>11.4</v>
      </c>
      <c r="G24" s="16">
        <v>16</v>
      </c>
      <c r="H24" s="16">
        <v>17.100000000000001</v>
      </c>
      <c r="I24" s="16">
        <v>16.2</v>
      </c>
      <c r="J24" s="16">
        <v>12.5</v>
      </c>
      <c r="K24" s="16">
        <v>10.3</v>
      </c>
      <c r="L24" s="16">
        <v>6.4</v>
      </c>
      <c r="M24" s="16">
        <v>1.3</v>
      </c>
      <c r="O24">
        <v>2014</v>
      </c>
      <c r="P24" s="16">
        <v>153.1</v>
      </c>
      <c r="Q24" s="16">
        <v>240.8</v>
      </c>
      <c r="R24" s="16">
        <v>75.900000000000006</v>
      </c>
      <c r="S24" s="16">
        <v>46.1</v>
      </c>
      <c r="T24" s="16">
        <v>113.4</v>
      </c>
      <c r="U24" s="16">
        <v>74.900000000000006</v>
      </c>
      <c r="V24" s="16">
        <v>156</v>
      </c>
      <c r="W24" s="16">
        <v>90.5</v>
      </c>
      <c r="X24" s="16">
        <v>166.9</v>
      </c>
      <c r="Y24" s="16">
        <v>66.3</v>
      </c>
      <c r="Z24" s="16">
        <v>276.7</v>
      </c>
      <c r="AA24" s="16">
        <v>156.19999999999999</v>
      </c>
    </row>
    <row r="25" spans="1:27" x14ac:dyDescent="0.25">
      <c r="A25">
        <v>2015</v>
      </c>
      <c r="B25" s="16">
        <v>1.2</v>
      </c>
      <c r="C25" s="16">
        <v>-1.1000000000000001</v>
      </c>
      <c r="D25" s="16">
        <v>3.4</v>
      </c>
      <c r="E25" s="16">
        <v>7.6</v>
      </c>
      <c r="F25" s="16">
        <v>12.8</v>
      </c>
      <c r="G25" s="16">
        <v>16.100000000000001</v>
      </c>
      <c r="H25" s="16">
        <v>20.399999999999999</v>
      </c>
      <c r="I25" s="16">
        <v>18.5</v>
      </c>
      <c r="J25" s="16">
        <v>12.9</v>
      </c>
      <c r="K25" s="16">
        <v>8.1</v>
      </c>
      <c r="L25" s="16">
        <v>6.1</v>
      </c>
      <c r="M25" s="16">
        <v>3.8</v>
      </c>
      <c r="O25">
        <v>2015</v>
      </c>
      <c r="P25" s="16">
        <v>59.8</v>
      </c>
      <c r="Q25" s="16">
        <v>39</v>
      </c>
      <c r="R25" s="16">
        <v>54.7</v>
      </c>
      <c r="S25" s="16">
        <v>42.5</v>
      </c>
      <c r="T25" s="16">
        <v>42.8</v>
      </c>
      <c r="U25" s="16">
        <v>46.7</v>
      </c>
      <c r="V25" s="16">
        <v>54.8</v>
      </c>
      <c r="W25" s="16">
        <v>112.7</v>
      </c>
      <c r="X25" s="16">
        <v>63.3</v>
      </c>
      <c r="Y25" s="16">
        <v>186.8</v>
      </c>
      <c r="Z25" s="16">
        <v>34</v>
      </c>
      <c r="AA25" s="16">
        <v>1.7</v>
      </c>
    </row>
    <row r="26" spans="1:27" x14ac:dyDescent="0.25">
      <c r="A26">
        <v>2016</v>
      </c>
      <c r="B26" s="16">
        <v>0.7</v>
      </c>
      <c r="C26" s="16">
        <v>2.4</v>
      </c>
      <c r="D26" s="16">
        <v>2.8</v>
      </c>
      <c r="E26" s="16">
        <v>8.1</v>
      </c>
      <c r="F26" s="16">
        <v>11.1</v>
      </c>
      <c r="G26" s="16">
        <v>15.8</v>
      </c>
      <c r="H26" s="16">
        <v>18.8</v>
      </c>
      <c r="I26" s="16">
        <v>16.5</v>
      </c>
      <c r="J26" s="16">
        <v>14.2</v>
      </c>
      <c r="K26" s="16">
        <v>7.1</v>
      </c>
      <c r="L26" s="16">
        <v>4.5</v>
      </c>
      <c r="M26" s="16">
        <v>0.5</v>
      </c>
      <c r="O26">
        <v>2016</v>
      </c>
      <c r="P26" s="16">
        <v>160.4</v>
      </c>
      <c r="Q26" s="16">
        <v>339.9</v>
      </c>
      <c r="R26" s="16">
        <v>139.69999999999999</v>
      </c>
      <c r="S26" s="16">
        <v>96.4</v>
      </c>
      <c r="T26" s="16">
        <v>158.80000000000001</v>
      </c>
      <c r="U26" s="16">
        <v>187.6</v>
      </c>
      <c r="V26" s="16">
        <v>71.3</v>
      </c>
      <c r="W26" s="16">
        <v>161.6</v>
      </c>
      <c r="X26" s="16">
        <v>82.7</v>
      </c>
      <c r="Y26" s="16">
        <v>221.6</v>
      </c>
      <c r="Z26" s="16">
        <v>457</v>
      </c>
      <c r="AA26" s="16">
        <v>1</v>
      </c>
    </row>
    <row r="27" spans="1:27" x14ac:dyDescent="0.25">
      <c r="A27">
        <v>2017</v>
      </c>
      <c r="B27" s="16">
        <v>-5.4</v>
      </c>
      <c r="C27" s="16">
        <v>1.4</v>
      </c>
      <c r="D27" s="16">
        <v>6.6</v>
      </c>
      <c r="E27" s="16">
        <v>7.8</v>
      </c>
      <c r="F27" s="16">
        <v>12.6</v>
      </c>
      <c r="G27" s="16">
        <v>17.7</v>
      </c>
      <c r="H27" s="16">
        <v>19.2</v>
      </c>
      <c r="I27" s="16">
        <v>19.899999999999999</v>
      </c>
      <c r="J27" s="16">
        <v>10.9</v>
      </c>
      <c r="K27" s="16">
        <v>9.6</v>
      </c>
      <c r="L27" s="16">
        <v>3.4</v>
      </c>
      <c r="M27" s="16">
        <v>0.5</v>
      </c>
      <c r="O27">
        <v>2017</v>
      </c>
      <c r="P27" s="17">
        <v>81.900000000000006</v>
      </c>
      <c r="Q27" s="17">
        <v>155.4</v>
      </c>
      <c r="R27" s="17">
        <v>66.8</v>
      </c>
      <c r="S27" s="17">
        <v>166.7</v>
      </c>
      <c r="T27" s="17">
        <v>90.9</v>
      </c>
      <c r="U27" s="17">
        <v>180.8</v>
      </c>
      <c r="V27" s="17">
        <v>43.8</v>
      </c>
      <c r="W27" s="17">
        <v>61.4</v>
      </c>
      <c r="X27" s="17">
        <v>465.5</v>
      </c>
      <c r="Y27" s="17">
        <v>91.3</v>
      </c>
      <c r="Z27" s="17">
        <v>242</v>
      </c>
      <c r="AA27" s="17">
        <v>321</v>
      </c>
    </row>
    <row r="28" spans="1:27" x14ac:dyDescent="0.25">
      <c r="A28">
        <v>2018</v>
      </c>
      <c r="B28" s="16">
        <v>2.7</v>
      </c>
      <c r="C28" s="16">
        <v>-4.4000000000000004</v>
      </c>
      <c r="D28" s="16">
        <v>0.8</v>
      </c>
      <c r="E28" s="16">
        <v>11.3</v>
      </c>
      <c r="F28" s="16">
        <v>13.8</v>
      </c>
      <c r="G28" s="16">
        <v>16.600000000000001</v>
      </c>
      <c r="H28" s="16">
        <v>18.399999999999999</v>
      </c>
      <c r="I28" s="16">
        <v>19</v>
      </c>
      <c r="J28" s="16">
        <v>13.7</v>
      </c>
      <c r="K28" s="16">
        <v>10.199999999999999</v>
      </c>
      <c r="L28" s="16">
        <v>4.7</v>
      </c>
      <c r="M28" s="16">
        <v>1.1000000000000001</v>
      </c>
      <c r="O28">
        <v>2018</v>
      </c>
      <c r="P28" s="17">
        <v>104.4</v>
      </c>
      <c r="Q28" s="17">
        <v>262.8</v>
      </c>
      <c r="R28" s="17">
        <v>173.1</v>
      </c>
      <c r="S28" s="17">
        <v>85</v>
      </c>
      <c r="T28" s="17">
        <v>102.5</v>
      </c>
      <c r="U28" s="17">
        <v>174.6</v>
      </c>
      <c r="V28" s="17">
        <v>92.8</v>
      </c>
      <c r="W28" s="17">
        <v>141.30000000000001</v>
      </c>
      <c r="X28" s="17">
        <v>140.1</v>
      </c>
      <c r="Y28" s="17">
        <v>199.4</v>
      </c>
      <c r="Z28" s="17">
        <v>212.4</v>
      </c>
      <c r="AA28" s="17">
        <v>57.6</v>
      </c>
    </row>
    <row r="29" spans="1:27" x14ac:dyDescent="0.25">
      <c r="A29">
        <v>2019</v>
      </c>
      <c r="B29" s="16">
        <v>-2</v>
      </c>
      <c r="C29" s="16">
        <v>2.9</v>
      </c>
      <c r="D29" s="16">
        <v>5.0999999999999996</v>
      </c>
      <c r="E29" s="16">
        <v>7.6</v>
      </c>
      <c r="F29" s="16">
        <v>8.6</v>
      </c>
      <c r="G29" s="16">
        <v>19.399999999999999</v>
      </c>
      <c r="H29" s="16">
        <v>18.5</v>
      </c>
      <c r="I29" s="16">
        <v>18.8</v>
      </c>
      <c r="J29" s="16">
        <v>13</v>
      </c>
      <c r="K29" s="16">
        <v>10.8</v>
      </c>
      <c r="L29" s="16">
        <v>5.7</v>
      </c>
      <c r="M29" s="16">
        <v>2.7</v>
      </c>
      <c r="O29">
        <v>2019</v>
      </c>
      <c r="P29" s="16">
        <v>107.1</v>
      </c>
      <c r="Q29" s="16">
        <v>129.9</v>
      </c>
      <c r="R29" s="16">
        <v>88.8</v>
      </c>
      <c r="S29" s="16">
        <v>177</v>
      </c>
      <c r="T29" s="16">
        <v>273.39999999999998</v>
      </c>
      <c r="U29" s="16">
        <v>22</v>
      </c>
      <c r="V29" s="16">
        <v>136.30000000000001</v>
      </c>
      <c r="W29" s="16">
        <v>103.9</v>
      </c>
      <c r="X29" s="16">
        <v>111.6</v>
      </c>
      <c r="Y29" s="16">
        <v>88.9</v>
      </c>
      <c r="Z29" s="16">
        <v>452.6</v>
      </c>
      <c r="AA29" s="16">
        <v>228.2</v>
      </c>
    </row>
    <row r="30" spans="1:27" x14ac:dyDescent="0.25">
      <c r="A30">
        <v>2020</v>
      </c>
      <c r="B30" s="16">
        <v>2.1</v>
      </c>
      <c r="C30" s="16">
        <v>3.9</v>
      </c>
      <c r="D30" s="16">
        <v>3.5</v>
      </c>
      <c r="E30" s="16">
        <v>9.4</v>
      </c>
      <c r="F30" s="16">
        <v>11.2</v>
      </c>
      <c r="G30" s="16">
        <v>15.6</v>
      </c>
      <c r="H30" s="16">
        <v>17.7</v>
      </c>
      <c r="I30" s="16">
        <v>18.3</v>
      </c>
      <c r="J30" s="16">
        <v>13.7</v>
      </c>
      <c r="K30" s="16">
        <v>8.8000000000000007</v>
      </c>
      <c r="L30" s="16">
        <v>4</v>
      </c>
      <c r="M30" s="16">
        <v>1.2</v>
      </c>
      <c r="O30">
        <v>2020</v>
      </c>
      <c r="P30" s="16">
        <v>28.9</v>
      </c>
      <c r="Q30" s="16">
        <v>68.3</v>
      </c>
      <c r="R30" s="16">
        <v>109.3</v>
      </c>
      <c r="S30" s="16">
        <v>48.6</v>
      </c>
      <c r="T30" s="16">
        <v>107.7</v>
      </c>
      <c r="U30" s="16">
        <v>248.1</v>
      </c>
      <c r="V30" s="16">
        <v>129</v>
      </c>
      <c r="W30" s="16">
        <v>183.1</v>
      </c>
      <c r="X30" s="16">
        <v>245.2</v>
      </c>
      <c r="Y30" s="16">
        <v>340.2</v>
      </c>
      <c r="Z30" s="16">
        <v>65.900000000000006</v>
      </c>
      <c r="AA30" s="16">
        <v>275.8</v>
      </c>
    </row>
    <row r="31" spans="1:27" x14ac:dyDescent="0.25">
      <c r="A31">
        <v>2021</v>
      </c>
      <c r="B31" s="16">
        <v>-1.1000000000000001</v>
      </c>
      <c r="C31" s="16">
        <v>3.5</v>
      </c>
      <c r="D31" s="16">
        <v>3</v>
      </c>
      <c r="E31" s="16">
        <v>4.8</v>
      </c>
      <c r="F31" s="16">
        <v>10</v>
      </c>
      <c r="G31" s="16">
        <v>18.7</v>
      </c>
      <c r="H31" s="16">
        <v>19.100000000000001</v>
      </c>
      <c r="I31" s="16">
        <v>16.7</v>
      </c>
      <c r="J31" s="16">
        <v>13.7</v>
      </c>
      <c r="K31" s="16">
        <v>7</v>
      </c>
      <c r="L31" s="16">
        <v>4</v>
      </c>
      <c r="M31" s="16">
        <v>1.2</v>
      </c>
      <c r="O31">
        <v>2021</v>
      </c>
      <c r="P31" s="16">
        <v>240.4</v>
      </c>
      <c r="Q31" s="16">
        <v>104.5</v>
      </c>
      <c r="R31" s="16">
        <v>47</v>
      </c>
      <c r="S31" s="16">
        <v>132</v>
      </c>
      <c r="T31" s="16">
        <v>195.8</v>
      </c>
      <c r="U31" s="16">
        <v>49.6</v>
      </c>
      <c r="V31" s="16">
        <v>161.80000000000001</v>
      </c>
      <c r="W31" s="16">
        <v>109.5</v>
      </c>
      <c r="X31" s="16">
        <v>97.5</v>
      </c>
      <c r="Y31" s="16">
        <v>129</v>
      </c>
      <c r="Z31" s="16">
        <v>183</v>
      </c>
      <c r="AA31" s="16">
        <v>136.19999999999999</v>
      </c>
    </row>
    <row r="32" spans="1:27" x14ac:dyDescent="0.25">
      <c r="A32">
        <v>2022</v>
      </c>
      <c r="B32" s="16">
        <v>0</v>
      </c>
      <c r="C32" s="16">
        <v>2</v>
      </c>
      <c r="D32" s="16">
        <v>2.9</v>
      </c>
      <c r="E32" s="16">
        <v>6.3</v>
      </c>
      <c r="F32" s="16">
        <v>14</v>
      </c>
      <c r="G32" s="16">
        <v>19</v>
      </c>
      <c r="H32" s="16">
        <v>19.7</v>
      </c>
      <c r="I32" s="16">
        <v>18.3</v>
      </c>
      <c r="J32" s="16">
        <v>12.2</v>
      </c>
      <c r="K32" s="16">
        <v>12.1</v>
      </c>
      <c r="L32" s="16">
        <v>5.3</v>
      </c>
      <c r="M32" s="16">
        <v>2.8</v>
      </c>
      <c r="O32">
        <v>2022</v>
      </c>
      <c r="P32" s="16">
        <v>60.2</v>
      </c>
      <c r="Q32" s="16">
        <v>97.1</v>
      </c>
      <c r="R32" s="16">
        <v>18.899999999999999</v>
      </c>
      <c r="S32" s="16">
        <v>155.6</v>
      </c>
      <c r="T32" s="16">
        <v>117.2</v>
      </c>
      <c r="U32" s="16">
        <v>40.200000000000003</v>
      </c>
      <c r="V32" s="16">
        <v>68.599999999999994</v>
      </c>
      <c r="W32" s="16">
        <v>72.099999999999994</v>
      </c>
      <c r="X32" s="16">
        <v>480.7</v>
      </c>
      <c r="Y32" s="16">
        <v>50.6</v>
      </c>
      <c r="Z32" s="16">
        <v>172.3</v>
      </c>
      <c r="AA32" s="16">
        <v>263</v>
      </c>
    </row>
    <row r="33" spans="1:27" x14ac:dyDescent="0.25">
      <c r="A33">
        <v>2023</v>
      </c>
      <c r="B33">
        <v>1</v>
      </c>
      <c r="C33">
        <v>0.60000000000000009</v>
      </c>
      <c r="D33">
        <v>4.7</v>
      </c>
      <c r="E33">
        <v>6</v>
      </c>
      <c r="F33">
        <v>11.6</v>
      </c>
      <c r="G33">
        <v>16.600000000000001</v>
      </c>
      <c r="H33">
        <v>19.100000000000001</v>
      </c>
      <c r="I33">
        <v>18.100000000000001</v>
      </c>
      <c r="J33">
        <v>15.4</v>
      </c>
      <c r="K33">
        <v>12.5</v>
      </c>
      <c r="L33">
        <v>5.6</v>
      </c>
      <c r="M33">
        <v>3.9</v>
      </c>
      <c r="O33">
        <v>2023</v>
      </c>
      <c r="P33">
        <v>248.1</v>
      </c>
      <c r="Q33">
        <v>54.9</v>
      </c>
      <c r="R33">
        <v>72.3</v>
      </c>
      <c r="S33">
        <v>107.5</v>
      </c>
      <c r="T33">
        <v>208.6</v>
      </c>
      <c r="U33">
        <v>94.4</v>
      </c>
      <c r="V33">
        <v>199.6</v>
      </c>
      <c r="W33">
        <v>368.9</v>
      </c>
      <c r="X33">
        <v>103.8</v>
      </c>
      <c r="Y33">
        <v>445.6</v>
      </c>
      <c r="Z33">
        <v>301.89999999999998</v>
      </c>
      <c r="AA33">
        <v>231.1</v>
      </c>
    </row>
    <row r="34" spans="1:27" x14ac:dyDescent="0.25">
      <c r="A34">
        <v>2024</v>
      </c>
      <c r="B34">
        <v>1</v>
      </c>
      <c r="C34">
        <v>5.8</v>
      </c>
      <c r="D34">
        <v>6.3</v>
      </c>
      <c r="E34">
        <v>9.1</v>
      </c>
      <c r="F34">
        <v>12.4</v>
      </c>
      <c r="G34">
        <v>17.2</v>
      </c>
      <c r="H34">
        <v>20.5</v>
      </c>
      <c r="I34">
        <v>21.1</v>
      </c>
      <c r="J34">
        <v>13.2</v>
      </c>
      <c r="K34">
        <v>10.199999999999999</v>
      </c>
      <c r="L34">
        <v>3.4</v>
      </c>
      <c r="M34">
        <v>0.9</v>
      </c>
      <c r="O34">
        <v>2024</v>
      </c>
      <c r="P34">
        <v>195.1</v>
      </c>
      <c r="Q34">
        <v>148.5</v>
      </c>
      <c r="R34">
        <v>169</v>
      </c>
      <c r="S34">
        <v>88.2</v>
      </c>
      <c r="T34">
        <v>207.6</v>
      </c>
      <c r="U34">
        <v>144.1</v>
      </c>
      <c r="V34">
        <v>83.2</v>
      </c>
      <c r="W34">
        <v>64.2</v>
      </c>
      <c r="X34">
        <v>282.2</v>
      </c>
      <c r="Y34">
        <v>354.5</v>
      </c>
      <c r="Z34">
        <v>107.5</v>
      </c>
      <c r="AA34">
        <v>88.7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FA3E-F374-4A4C-9630-B3BAFF6E85F1}">
  <dimension ref="A1:AA40"/>
  <sheetViews>
    <sheetView workbookViewId="0">
      <selection activeCell="Q18" sqref="Q18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3.2800000000000002</v>
      </c>
      <c r="C2" s="4">
        <f t="shared" ref="C2:L2" si="0">AVERAGE(C5:C46)</f>
        <v>4.3066666666666675</v>
      </c>
      <c r="D2" s="4">
        <f t="shared" si="0"/>
        <v>7.0633333333333326</v>
      </c>
      <c r="E2" s="4">
        <f t="shared" si="0"/>
        <v>10.886666666666667</v>
      </c>
      <c r="F2" s="4">
        <f t="shared" si="0"/>
        <v>15.516666666666671</v>
      </c>
      <c r="G2" s="4">
        <f t="shared" si="0"/>
        <v>19.893333333333331</v>
      </c>
      <c r="H2" s="4">
        <f t="shared" si="0"/>
        <v>22.046666666666663</v>
      </c>
      <c r="I2" s="4">
        <f t="shared" si="0"/>
        <v>21.223333333333326</v>
      </c>
      <c r="J2" s="4">
        <f t="shared" si="0"/>
        <v>16.29</v>
      </c>
      <c r="K2" s="4">
        <f t="shared" si="0"/>
        <v>12.356666666666666</v>
      </c>
      <c r="L2" s="4">
        <f t="shared" si="0"/>
        <v>8.1600000000000019</v>
      </c>
      <c r="M2" s="4">
        <f>AVERAGE(M5:M46)</f>
        <v>4.4133333333333331</v>
      </c>
      <c r="O2" s="30"/>
      <c r="P2" s="4">
        <f>AVERAGE(P5:P46)</f>
        <v>71.673333333333332</v>
      </c>
      <c r="Q2" s="4">
        <f t="shared" ref="Q2:Z2" si="1">AVERAGE(Q5:Q46)</f>
        <v>85.049999999999983</v>
      </c>
      <c r="R2" s="4">
        <f t="shared" si="1"/>
        <v>72.993333333333339</v>
      </c>
      <c r="S2" s="4">
        <f t="shared" si="1"/>
        <v>75.370000000000019</v>
      </c>
      <c r="T2" s="4">
        <f t="shared" si="1"/>
        <v>95.123333333333306</v>
      </c>
      <c r="U2" s="4">
        <f t="shared" si="1"/>
        <v>90.296666666666667</v>
      </c>
      <c r="V2" s="4">
        <f t="shared" si="1"/>
        <v>68.543333333333322</v>
      </c>
      <c r="W2" s="4">
        <f t="shared" si="1"/>
        <v>86.946666666666658</v>
      </c>
      <c r="X2" s="4">
        <f t="shared" si="1"/>
        <v>117.70666666666668</v>
      </c>
      <c r="Y2" s="4">
        <f t="shared" si="1"/>
        <v>103.32333333333332</v>
      </c>
      <c r="Z2" s="4">
        <f t="shared" si="1"/>
        <v>150.65</v>
      </c>
      <c r="AA2" s="4">
        <f>AVERAGE(AA5:AA46)</f>
        <v>118.10666666666665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2.7</v>
      </c>
      <c r="C5" s="2">
        <v>5.9</v>
      </c>
      <c r="D5" s="2">
        <v>5.4</v>
      </c>
      <c r="E5" s="2">
        <v>9.9</v>
      </c>
      <c r="F5" s="2">
        <v>14.4</v>
      </c>
      <c r="G5" s="2">
        <v>17</v>
      </c>
      <c r="H5" s="2">
        <v>22.5</v>
      </c>
      <c r="I5" s="2">
        <v>19.100000000000001</v>
      </c>
      <c r="J5" s="2">
        <v>14.4</v>
      </c>
      <c r="K5" s="2">
        <v>12.2</v>
      </c>
      <c r="L5" s="2">
        <v>6.3</v>
      </c>
      <c r="M5" s="2">
        <v>4.5</v>
      </c>
      <c r="O5">
        <v>1995</v>
      </c>
      <c r="P5" s="2">
        <v>97.3</v>
      </c>
      <c r="Q5" s="2">
        <v>101.9</v>
      </c>
      <c r="R5" s="2">
        <v>149.6</v>
      </c>
      <c r="S5" s="2">
        <v>16.399999999999999</v>
      </c>
      <c r="T5" s="2">
        <v>86.8</v>
      </c>
      <c r="U5" s="2">
        <v>162.80000000000001</v>
      </c>
      <c r="V5" s="2">
        <v>33.4</v>
      </c>
      <c r="W5" s="2">
        <v>57</v>
      </c>
      <c r="X5" s="2">
        <v>111.6</v>
      </c>
      <c r="Y5" s="2">
        <v>37.799999999999997</v>
      </c>
      <c r="Z5" s="2">
        <v>39.299999999999997</v>
      </c>
      <c r="AA5" s="2">
        <v>149.4</v>
      </c>
    </row>
    <row r="6" spans="1:27" x14ac:dyDescent="0.25">
      <c r="A6">
        <v>1996</v>
      </c>
      <c r="B6" s="2">
        <v>4.0999999999999996</v>
      </c>
      <c r="C6" s="2">
        <v>1.4</v>
      </c>
      <c r="D6" s="2">
        <v>3.6</v>
      </c>
      <c r="E6" s="2">
        <v>10.5</v>
      </c>
      <c r="F6" s="2">
        <v>15.3</v>
      </c>
      <c r="G6" s="2">
        <v>18.8</v>
      </c>
      <c r="H6" s="2">
        <v>19.399999999999999</v>
      </c>
      <c r="I6" s="2">
        <v>19.7</v>
      </c>
      <c r="J6" s="2">
        <v>13.2</v>
      </c>
      <c r="K6" s="2">
        <v>11.4</v>
      </c>
      <c r="L6" s="2">
        <v>8.9</v>
      </c>
      <c r="M6" s="2">
        <v>4</v>
      </c>
      <c r="O6">
        <v>1996</v>
      </c>
      <c r="P6" s="2">
        <v>93.9</v>
      </c>
      <c r="Q6" s="2">
        <v>76.099999999999994</v>
      </c>
      <c r="R6" s="2">
        <v>12</v>
      </c>
      <c r="S6" s="2">
        <v>63.6</v>
      </c>
      <c r="T6" s="2">
        <v>101.4</v>
      </c>
      <c r="U6" s="2">
        <v>126.6</v>
      </c>
      <c r="V6" s="2">
        <v>26.6</v>
      </c>
      <c r="W6" s="2">
        <v>81.599999999999994</v>
      </c>
      <c r="X6" s="2">
        <v>157.1</v>
      </c>
      <c r="Y6" s="2">
        <v>159</v>
      </c>
      <c r="Z6" s="2">
        <v>168.9</v>
      </c>
      <c r="AA6" s="2">
        <v>112</v>
      </c>
    </row>
    <row r="7" spans="1:27" x14ac:dyDescent="0.25">
      <c r="A7">
        <v>1997</v>
      </c>
      <c r="B7" s="2">
        <v>4.7</v>
      </c>
      <c r="C7" s="2">
        <v>4.8</v>
      </c>
      <c r="D7" s="2">
        <v>7.5</v>
      </c>
      <c r="E7" s="2">
        <v>7.7</v>
      </c>
      <c r="F7" s="2">
        <v>15.2</v>
      </c>
      <c r="G7" s="2">
        <v>18.899999999999999</v>
      </c>
      <c r="H7" s="2">
        <v>19.899999999999999</v>
      </c>
      <c r="I7" s="2">
        <v>19.5</v>
      </c>
      <c r="J7" s="2">
        <v>16</v>
      </c>
      <c r="K7" s="2">
        <v>11.1</v>
      </c>
      <c r="L7" s="2">
        <v>7.9</v>
      </c>
      <c r="M7" s="2">
        <v>5</v>
      </c>
      <c r="O7">
        <v>1997</v>
      </c>
      <c r="P7" s="2">
        <v>125.9</v>
      </c>
      <c r="Q7" s="2">
        <v>23.7</v>
      </c>
      <c r="R7" s="2">
        <v>32.299999999999997</v>
      </c>
      <c r="S7" s="2">
        <v>81.2</v>
      </c>
      <c r="T7" s="2">
        <v>47.6</v>
      </c>
      <c r="U7" s="2">
        <v>85.6</v>
      </c>
      <c r="V7" s="2">
        <v>141.4</v>
      </c>
      <c r="W7" s="2">
        <v>100.4</v>
      </c>
      <c r="X7" s="2">
        <v>47.8</v>
      </c>
      <c r="Y7" s="2">
        <v>31.7</v>
      </c>
      <c r="Z7" s="2">
        <v>231.5</v>
      </c>
      <c r="AA7" s="2">
        <v>169.4</v>
      </c>
    </row>
    <row r="8" spans="1:27" x14ac:dyDescent="0.25">
      <c r="A8">
        <v>1998</v>
      </c>
      <c r="B8" s="2">
        <v>4.2</v>
      </c>
      <c r="C8" s="2">
        <v>5.7</v>
      </c>
      <c r="D8" s="2">
        <v>5.5</v>
      </c>
      <c r="E8" s="2">
        <v>10.7</v>
      </c>
      <c r="F8" s="2">
        <v>15.3</v>
      </c>
      <c r="G8" s="2">
        <v>19.7</v>
      </c>
      <c r="H8" s="2">
        <v>21.8</v>
      </c>
      <c r="I8" s="2">
        <v>22</v>
      </c>
      <c r="J8" s="2">
        <v>15.6</v>
      </c>
      <c r="K8" s="2">
        <v>11.9</v>
      </c>
      <c r="L8" s="2">
        <v>5.2</v>
      </c>
      <c r="M8" s="2">
        <v>1.9</v>
      </c>
      <c r="O8">
        <v>1998</v>
      </c>
      <c r="P8" s="2">
        <v>47.4</v>
      </c>
      <c r="Q8" s="2">
        <v>1.3</v>
      </c>
      <c r="R8" s="2">
        <v>6.9</v>
      </c>
      <c r="S8" s="2">
        <v>130.4</v>
      </c>
      <c r="T8" s="2">
        <v>49.7</v>
      </c>
      <c r="U8" s="2">
        <v>75</v>
      </c>
      <c r="V8" s="2">
        <v>133.1</v>
      </c>
      <c r="W8" s="2">
        <v>89.8</v>
      </c>
      <c r="X8" s="2">
        <v>158.69999999999999</v>
      </c>
      <c r="Y8" s="2">
        <v>215.7</v>
      </c>
      <c r="Z8" s="2">
        <v>66.099999999999994</v>
      </c>
      <c r="AA8" s="2">
        <v>36.4</v>
      </c>
    </row>
    <row r="9" spans="1:27" x14ac:dyDescent="0.25">
      <c r="A9">
        <v>1999</v>
      </c>
      <c r="B9" s="2">
        <v>3.5</v>
      </c>
      <c r="C9" s="2">
        <v>2.5</v>
      </c>
      <c r="D9" s="2">
        <v>7.7</v>
      </c>
      <c r="E9" s="2">
        <v>10.6</v>
      </c>
      <c r="F9" s="2">
        <v>16.100000000000001</v>
      </c>
      <c r="G9" s="2">
        <v>19.2</v>
      </c>
      <c r="H9" s="2">
        <v>21.2</v>
      </c>
      <c r="I9" s="2">
        <v>21.7</v>
      </c>
      <c r="J9" s="2">
        <v>18.100000000000001</v>
      </c>
      <c r="K9" s="2">
        <v>12.5</v>
      </c>
      <c r="L9" s="2">
        <v>5.9</v>
      </c>
      <c r="M9" s="2">
        <v>3.4</v>
      </c>
      <c r="O9">
        <v>1999</v>
      </c>
      <c r="P9" s="16">
        <v>62.6</v>
      </c>
      <c r="Q9" s="16">
        <v>42.7</v>
      </c>
      <c r="R9" s="16">
        <v>71</v>
      </c>
      <c r="S9" s="16">
        <v>187.7</v>
      </c>
      <c r="T9" s="16">
        <v>82.6</v>
      </c>
      <c r="U9" s="16">
        <v>93.5</v>
      </c>
      <c r="V9" s="16">
        <v>77.5</v>
      </c>
      <c r="W9" s="16">
        <v>22.9</v>
      </c>
      <c r="X9" s="16">
        <v>131</v>
      </c>
      <c r="Y9" s="16">
        <v>51</v>
      </c>
      <c r="Z9" s="16">
        <v>129.6</v>
      </c>
      <c r="AA9" s="16">
        <v>113.9</v>
      </c>
    </row>
    <row r="10" spans="1:27" x14ac:dyDescent="0.25">
      <c r="A10">
        <v>2000</v>
      </c>
      <c r="B10" s="2">
        <v>0.3</v>
      </c>
      <c r="C10" s="2">
        <v>4.2</v>
      </c>
      <c r="D10" s="2">
        <v>6.9</v>
      </c>
      <c r="E10" s="2">
        <v>12</v>
      </c>
      <c r="F10" s="2">
        <v>16.7</v>
      </c>
      <c r="G10" s="2">
        <v>20.9</v>
      </c>
      <c r="H10" s="2">
        <v>20.100000000000001</v>
      </c>
      <c r="I10" s="2">
        <v>22.1</v>
      </c>
      <c r="J10" s="2">
        <v>16.600000000000001</v>
      </c>
      <c r="K10" s="2">
        <v>14</v>
      </c>
      <c r="L10" s="2">
        <v>10</v>
      </c>
      <c r="M10" s="2">
        <v>6.3</v>
      </c>
      <c r="O10">
        <v>2000</v>
      </c>
      <c r="P10" s="16">
        <v>1.8</v>
      </c>
      <c r="Q10" s="16">
        <v>27.4</v>
      </c>
      <c r="R10" s="16">
        <v>100.3</v>
      </c>
      <c r="S10" s="16">
        <v>54.8</v>
      </c>
      <c r="T10" s="16">
        <v>62.3</v>
      </c>
      <c r="U10" s="16">
        <v>16.2</v>
      </c>
      <c r="V10" s="16">
        <v>81.099999999999994</v>
      </c>
      <c r="W10" s="16">
        <v>26.6</v>
      </c>
      <c r="X10" s="16">
        <v>42.9</v>
      </c>
      <c r="Y10" s="16">
        <v>140.9</v>
      </c>
      <c r="Z10" s="16">
        <v>358.7</v>
      </c>
      <c r="AA10" s="16">
        <v>127.1</v>
      </c>
    </row>
    <row r="11" spans="1:27" x14ac:dyDescent="0.25">
      <c r="A11">
        <v>2001</v>
      </c>
      <c r="B11" s="2">
        <v>5.9</v>
      </c>
      <c r="C11" s="2">
        <v>4.8</v>
      </c>
      <c r="D11" s="2">
        <v>10.1</v>
      </c>
      <c r="E11" s="2">
        <v>9.6</v>
      </c>
      <c r="F11" s="2">
        <v>17.2</v>
      </c>
      <c r="G11" s="2">
        <v>18.2</v>
      </c>
      <c r="H11" s="2">
        <v>21.9</v>
      </c>
      <c r="I11" s="2">
        <v>22.7</v>
      </c>
      <c r="J11" s="2">
        <v>14.2</v>
      </c>
      <c r="K11" s="2">
        <v>14</v>
      </c>
      <c r="L11" s="2">
        <v>6.1</v>
      </c>
      <c r="M11" s="2">
        <v>1.1000000000000001</v>
      </c>
      <c r="O11">
        <v>2001</v>
      </c>
      <c r="P11" s="16">
        <v>141.6</v>
      </c>
      <c r="Q11" s="16">
        <v>7.2</v>
      </c>
      <c r="R11" s="16">
        <v>123.2</v>
      </c>
      <c r="S11" s="16">
        <v>87.9</v>
      </c>
      <c r="T11" s="16">
        <v>28.1</v>
      </c>
      <c r="U11" s="16">
        <v>79</v>
      </c>
      <c r="V11" s="16">
        <v>54.5</v>
      </c>
      <c r="W11" s="16">
        <v>13.3</v>
      </c>
      <c r="X11" s="16">
        <v>143</v>
      </c>
      <c r="Y11" s="16">
        <v>34.9</v>
      </c>
      <c r="Z11" s="16">
        <v>60.1</v>
      </c>
      <c r="AA11" s="16">
        <v>18.2</v>
      </c>
    </row>
    <row r="12" spans="1:27" x14ac:dyDescent="0.25">
      <c r="A12">
        <v>2002</v>
      </c>
      <c r="B12" s="20">
        <v>1.6</v>
      </c>
      <c r="C12" s="20">
        <v>6</v>
      </c>
      <c r="D12" s="20">
        <v>8.6</v>
      </c>
      <c r="E12" s="20">
        <v>10.3</v>
      </c>
      <c r="F12" s="20">
        <v>16</v>
      </c>
      <c r="G12" s="20">
        <v>20.2</v>
      </c>
      <c r="H12" s="20">
        <v>21.4</v>
      </c>
      <c r="I12" s="20">
        <v>19.7</v>
      </c>
      <c r="J12" s="20">
        <v>14.8</v>
      </c>
      <c r="K12" s="20">
        <v>12.6</v>
      </c>
      <c r="L12" s="20">
        <v>10.9</v>
      </c>
      <c r="M12" s="20">
        <v>5.7</v>
      </c>
      <c r="O12">
        <v>2002</v>
      </c>
      <c r="P12" s="17">
        <v>24</v>
      </c>
      <c r="Q12" s="17">
        <v>84</v>
      </c>
      <c r="R12" s="17">
        <v>1</v>
      </c>
      <c r="S12" s="17">
        <v>106</v>
      </c>
      <c r="T12" s="17">
        <v>76</v>
      </c>
      <c r="U12" s="17">
        <v>164</v>
      </c>
      <c r="V12" s="17">
        <v>45</v>
      </c>
      <c r="W12" s="17">
        <v>281</v>
      </c>
      <c r="X12" s="17">
        <v>188</v>
      </c>
      <c r="Y12" s="17">
        <v>105</v>
      </c>
      <c r="Z12" s="17">
        <v>228</v>
      </c>
      <c r="AA12" s="17">
        <v>53</v>
      </c>
    </row>
    <row r="13" spans="1:27" x14ac:dyDescent="0.25">
      <c r="A13">
        <v>2003</v>
      </c>
      <c r="B13" s="20">
        <v>2.1</v>
      </c>
      <c r="C13" s="20">
        <v>-0.1</v>
      </c>
      <c r="D13" s="20">
        <v>6.2</v>
      </c>
      <c r="E13" s="20">
        <v>9.9</v>
      </c>
      <c r="F13" s="20">
        <v>17.2</v>
      </c>
      <c r="G13" s="20">
        <v>22.6</v>
      </c>
      <c r="H13" s="20">
        <v>22.6</v>
      </c>
      <c r="I13" s="20">
        <v>24.1</v>
      </c>
      <c r="J13" s="20">
        <v>15.3</v>
      </c>
      <c r="K13" s="20">
        <v>10</v>
      </c>
      <c r="L13" s="20">
        <v>9</v>
      </c>
      <c r="M13" s="20">
        <v>4.8</v>
      </c>
      <c r="O13">
        <v>2003</v>
      </c>
      <c r="P13" s="17">
        <v>106.4</v>
      </c>
      <c r="Q13" s="17">
        <v>44.7</v>
      </c>
      <c r="R13" s="17">
        <v>5.2</v>
      </c>
      <c r="S13" s="17">
        <v>77.599999999999994</v>
      </c>
      <c r="T13" s="17">
        <v>31.8</v>
      </c>
      <c r="U13" s="17">
        <v>93.2</v>
      </c>
      <c r="V13" s="17">
        <v>45.2</v>
      </c>
      <c r="W13" s="17">
        <v>34</v>
      </c>
      <c r="X13" s="17">
        <v>85.2</v>
      </c>
      <c r="Y13" s="17">
        <v>94.9</v>
      </c>
      <c r="Z13" s="17">
        <v>129.5</v>
      </c>
      <c r="AA13" s="17">
        <v>104.3</v>
      </c>
    </row>
    <row r="14" spans="1:27" x14ac:dyDescent="0.25">
      <c r="A14">
        <v>2004</v>
      </c>
      <c r="B14" s="16">
        <v>1.1000000000000001</v>
      </c>
      <c r="C14" s="16">
        <v>3.3</v>
      </c>
      <c r="D14" s="16">
        <v>5.7</v>
      </c>
      <c r="E14" s="16">
        <v>10.6</v>
      </c>
      <c r="F14" s="16">
        <v>13.4</v>
      </c>
      <c r="G14" s="16">
        <v>18.899999999999999</v>
      </c>
      <c r="H14" s="16">
        <v>21.5</v>
      </c>
      <c r="I14" s="16">
        <v>21.1</v>
      </c>
      <c r="J14" s="16">
        <v>16.8</v>
      </c>
      <c r="K14" s="16">
        <v>14.5</v>
      </c>
      <c r="L14" s="16">
        <v>7.5</v>
      </c>
      <c r="M14" s="16">
        <v>4.8</v>
      </c>
      <c r="O14">
        <v>2004</v>
      </c>
      <c r="P14" s="16">
        <v>69.400000000000006</v>
      </c>
      <c r="Q14" s="16">
        <v>94.6</v>
      </c>
      <c r="R14" s="16">
        <v>35.1</v>
      </c>
      <c r="S14" s="16">
        <v>83.3</v>
      </c>
      <c r="T14" s="16">
        <v>145.80000000000001</v>
      </c>
      <c r="U14" s="16">
        <v>41.4</v>
      </c>
      <c r="V14" s="16">
        <v>25.5</v>
      </c>
      <c r="W14" s="16">
        <v>65.2</v>
      </c>
      <c r="X14" s="16">
        <v>48.9</v>
      </c>
      <c r="Y14" s="16">
        <v>159.9</v>
      </c>
      <c r="Z14" s="16">
        <v>87.6</v>
      </c>
      <c r="AA14" s="16">
        <v>161.30000000000001</v>
      </c>
    </row>
    <row r="15" spans="1:27" x14ac:dyDescent="0.25">
      <c r="A15">
        <v>2005</v>
      </c>
      <c r="B15" s="16">
        <v>1</v>
      </c>
      <c r="C15" s="16">
        <v>0.7</v>
      </c>
      <c r="D15" s="16">
        <v>5.0999999999999996</v>
      </c>
      <c r="E15" s="16">
        <v>9.6</v>
      </c>
      <c r="F15" s="16">
        <v>15.5</v>
      </c>
      <c r="G15" s="16">
        <v>19.600000000000001</v>
      </c>
      <c r="H15" s="16">
        <v>21.5</v>
      </c>
      <c r="I15" s="16">
        <v>18.2</v>
      </c>
      <c r="J15" s="16">
        <v>16.3</v>
      </c>
      <c r="K15" s="16">
        <v>11.7</v>
      </c>
      <c r="L15" s="16">
        <v>7.2</v>
      </c>
      <c r="M15" s="16">
        <v>2.6</v>
      </c>
      <c r="O15">
        <v>2005</v>
      </c>
      <c r="P15" s="16">
        <v>24.4</v>
      </c>
      <c r="Q15" s="16">
        <v>38.1</v>
      </c>
      <c r="R15" s="16">
        <v>89.7</v>
      </c>
      <c r="S15" s="16">
        <v>99.4</v>
      </c>
      <c r="T15" s="16">
        <v>89.2</v>
      </c>
      <c r="U15" s="16">
        <v>57.2</v>
      </c>
      <c r="V15" s="16">
        <v>46.1</v>
      </c>
      <c r="W15" s="16">
        <v>214</v>
      </c>
      <c r="X15" s="16">
        <v>83.9</v>
      </c>
      <c r="Y15" s="16">
        <v>116.6</v>
      </c>
      <c r="Z15" s="16">
        <v>125.4</v>
      </c>
      <c r="AA15" s="16">
        <v>87.5</v>
      </c>
    </row>
    <row r="16" spans="1:27" x14ac:dyDescent="0.25">
      <c r="A16">
        <v>2006</v>
      </c>
      <c r="B16" s="16">
        <v>0.9</v>
      </c>
      <c r="C16" s="16">
        <v>2.8</v>
      </c>
      <c r="D16" s="16">
        <v>5</v>
      </c>
      <c r="E16" s="16">
        <v>11</v>
      </c>
      <c r="F16" s="16">
        <v>14.6</v>
      </c>
      <c r="G16" s="16">
        <v>19.2</v>
      </c>
      <c r="H16" s="16">
        <v>23</v>
      </c>
      <c r="I16" s="16">
        <v>18.100000000000001</v>
      </c>
      <c r="J16" s="16">
        <v>17.100000000000001</v>
      </c>
      <c r="K16" s="16">
        <v>13.4</v>
      </c>
      <c r="L16" s="16">
        <v>9.1999999999999993</v>
      </c>
      <c r="M16" s="16">
        <v>5.3</v>
      </c>
      <c r="O16">
        <v>2006</v>
      </c>
      <c r="P16" s="16">
        <v>82</v>
      </c>
      <c r="Q16" s="16">
        <v>71.2</v>
      </c>
      <c r="R16" s="16">
        <v>108.7</v>
      </c>
      <c r="S16" s="16">
        <v>61.4</v>
      </c>
      <c r="T16" s="16">
        <v>161.19999999999999</v>
      </c>
      <c r="U16" s="16">
        <v>6.6</v>
      </c>
      <c r="V16" s="16">
        <v>24.4</v>
      </c>
      <c r="W16" s="16">
        <v>242.7</v>
      </c>
      <c r="X16" s="16">
        <v>90.1</v>
      </c>
      <c r="Y16" s="16">
        <v>28.6</v>
      </c>
      <c r="Z16" s="16">
        <v>83.6</v>
      </c>
      <c r="AA16" s="16">
        <v>71.400000000000006</v>
      </c>
    </row>
    <row r="17" spans="1:27" x14ac:dyDescent="0.25">
      <c r="A17">
        <v>2007</v>
      </c>
      <c r="B17" s="16">
        <v>6.2</v>
      </c>
      <c r="C17" s="16">
        <v>6.7</v>
      </c>
      <c r="D17" s="16">
        <v>8.6999999999999993</v>
      </c>
      <c r="E17" s="16">
        <v>13</v>
      </c>
      <c r="F17" s="16">
        <v>16.3</v>
      </c>
      <c r="G17" s="16">
        <v>20.100000000000001</v>
      </c>
      <c r="H17" s="16">
        <v>22.2</v>
      </c>
      <c r="I17" s="16">
        <v>20.399999999999999</v>
      </c>
      <c r="J17" s="16">
        <v>14.1</v>
      </c>
      <c r="K17" s="16">
        <v>10.3</v>
      </c>
      <c r="L17" s="16">
        <v>5.8</v>
      </c>
      <c r="M17" s="16">
        <v>2.9</v>
      </c>
      <c r="O17">
        <v>2007</v>
      </c>
      <c r="P17" s="16">
        <v>70.7</v>
      </c>
      <c r="Q17" s="16">
        <v>117.1</v>
      </c>
      <c r="R17" s="16">
        <v>75</v>
      </c>
      <c r="S17" s="16">
        <v>13.7</v>
      </c>
      <c r="T17" s="16">
        <v>134.30000000000001</v>
      </c>
      <c r="U17" s="16">
        <v>89</v>
      </c>
      <c r="V17" s="16">
        <v>17.100000000000001</v>
      </c>
      <c r="W17" s="16">
        <v>94.3</v>
      </c>
      <c r="X17" s="16">
        <v>179.9</v>
      </c>
      <c r="Y17" s="16">
        <v>71.400000000000006</v>
      </c>
      <c r="Z17" s="16">
        <v>18.399999999999999</v>
      </c>
      <c r="AA17" s="16">
        <v>51.7</v>
      </c>
    </row>
    <row r="18" spans="1:27" x14ac:dyDescent="0.25">
      <c r="A18">
        <v>2008</v>
      </c>
      <c r="B18" s="16">
        <v>5</v>
      </c>
      <c r="C18" s="16">
        <v>4.0999999999999996</v>
      </c>
      <c r="D18" s="16">
        <v>6.8</v>
      </c>
      <c r="E18" s="16">
        <v>10.8</v>
      </c>
      <c r="F18" s="16">
        <v>16</v>
      </c>
      <c r="G18" s="16">
        <v>19.899999999999999</v>
      </c>
      <c r="H18" s="16">
        <v>22</v>
      </c>
      <c r="I18" s="16">
        <v>21</v>
      </c>
      <c r="J18" s="16">
        <v>15.5</v>
      </c>
      <c r="K18" s="16">
        <v>12.8</v>
      </c>
      <c r="L18" s="16">
        <v>8.3000000000000007</v>
      </c>
      <c r="M18" s="16">
        <v>4.5999999999999996</v>
      </c>
      <c r="O18">
        <v>2008</v>
      </c>
      <c r="P18" s="16">
        <v>75.099999999999994</v>
      </c>
      <c r="Q18" s="16">
        <v>32.4</v>
      </c>
      <c r="R18" s="16">
        <v>96.9</v>
      </c>
      <c r="S18" s="16">
        <v>106.6</v>
      </c>
      <c r="T18" s="16">
        <v>43.1</v>
      </c>
      <c r="U18" s="16">
        <v>64.2</v>
      </c>
      <c r="V18" s="16">
        <v>53.3</v>
      </c>
      <c r="W18" s="16">
        <v>50.6</v>
      </c>
      <c r="X18" s="16">
        <v>21.6</v>
      </c>
      <c r="Y18" s="16">
        <v>76.2</v>
      </c>
      <c r="Z18" s="16">
        <v>158.6</v>
      </c>
      <c r="AA18" s="16">
        <v>288.8</v>
      </c>
    </row>
    <row r="19" spans="1:27" x14ac:dyDescent="0.25">
      <c r="A19">
        <v>2009</v>
      </c>
      <c r="B19" s="16">
        <v>2.9</v>
      </c>
      <c r="C19" s="16">
        <v>3.6</v>
      </c>
      <c r="D19" s="16">
        <v>6.9</v>
      </c>
      <c r="E19" s="16">
        <v>12.8</v>
      </c>
      <c r="F19" s="16">
        <v>17.100000000000001</v>
      </c>
      <c r="G19" s="16">
        <v>18.899999999999999</v>
      </c>
      <c r="H19" s="16">
        <v>21.4</v>
      </c>
      <c r="I19" s="16">
        <v>21.5</v>
      </c>
      <c r="J19" s="16">
        <v>17.600000000000001</v>
      </c>
      <c r="K19" s="16">
        <v>10.6</v>
      </c>
      <c r="L19" s="16">
        <v>9.3000000000000007</v>
      </c>
      <c r="M19" s="16">
        <v>4.0999999999999996</v>
      </c>
      <c r="O19">
        <v>2009</v>
      </c>
      <c r="P19" s="16">
        <v>94.9</v>
      </c>
      <c r="Q19" s="16">
        <v>141</v>
      </c>
      <c r="R19" s="16">
        <v>136.1</v>
      </c>
      <c r="S19" s="16">
        <v>86.9</v>
      </c>
      <c r="T19" s="16">
        <v>16.5</v>
      </c>
      <c r="U19" s="16">
        <v>134.1</v>
      </c>
      <c r="V19" s="16">
        <v>79.7</v>
      </c>
      <c r="W19" s="16">
        <v>57.4</v>
      </c>
      <c r="X19" s="16">
        <v>86</v>
      </c>
      <c r="Y19" s="16">
        <v>62.7</v>
      </c>
      <c r="Z19" s="16">
        <v>200.2</v>
      </c>
      <c r="AA19" s="16">
        <v>204.8</v>
      </c>
    </row>
    <row r="20" spans="1:27" x14ac:dyDescent="0.25">
      <c r="A20">
        <v>2010</v>
      </c>
      <c r="B20" s="16">
        <v>1.4</v>
      </c>
      <c r="C20" s="16">
        <v>3.7</v>
      </c>
      <c r="D20" s="16">
        <v>5.8</v>
      </c>
      <c r="E20" s="16">
        <v>10.7</v>
      </c>
      <c r="F20" s="16">
        <v>14.4</v>
      </c>
      <c r="G20" s="16">
        <v>18.899999999999999</v>
      </c>
      <c r="H20" s="16">
        <v>21.8</v>
      </c>
      <c r="I20" s="16">
        <v>19.600000000000001</v>
      </c>
      <c r="J20" s="16">
        <v>15.2</v>
      </c>
      <c r="K20" s="16">
        <v>10</v>
      </c>
      <c r="L20" s="16">
        <v>8.8000000000000007</v>
      </c>
      <c r="M20" s="16">
        <v>2.6</v>
      </c>
      <c r="O20">
        <v>2010</v>
      </c>
      <c r="P20" s="2">
        <v>131</v>
      </c>
      <c r="Q20" s="2">
        <v>134.1</v>
      </c>
      <c r="R20" s="2">
        <v>44.3</v>
      </c>
      <c r="S20" s="2">
        <v>55.9</v>
      </c>
      <c r="T20" s="2">
        <v>165.7</v>
      </c>
      <c r="U20" s="2">
        <v>125.6</v>
      </c>
      <c r="V20" s="2">
        <v>143.30000000000001</v>
      </c>
      <c r="W20" s="2">
        <v>130.1</v>
      </c>
      <c r="X20" s="2">
        <v>207.8</v>
      </c>
      <c r="Y20" s="2">
        <v>74.3</v>
      </c>
      <c r="Z20" s="2">
        <v>264.8</v>
      </c>
      <c r="AA20" s="2">
        <v>157.9</v>
      </c>
    </row>
    <row r="21" spans="1:27" x14ac:dyDescent="0.25">
      <c r="A21">
        <v>2011</v>
      </c>
      <c r="B21" s="16">
        <v>3.2</v>
      </c>
      <c r="C21" s="16">
        <v>3.8</v>
      </c>
      <c r="D21" s="16">
        <v>7</v>
      </c>
      <c r="E21" s="16">
        <v>12</v>
      </c>
      <c r="F21" s="16">
        <v>15.9</v>
      </c>
      <c r="G21" s="16">
        <v>20</v>
      </c>
      <c r="H21" s="16">
        <v>20.7</v>
      </c>
      <c r="I21" s="16">
        <v>21.7</v>
      </c>
      <c r="J21" s="16">
        <v>18.7</v>
      </c>
      <c r="K21" s="16">
        <v>10.8</v>
      </c>
      <c r="L21" s="16">
        <v>6.4</v>
      </c>
      <c r="M21" s="16">
        <v>5.2</v>
      </c>
      <c r="O21">
        <v>2011</v>
      </c>
      <c r="P21" s="2">
        <v>13.5</v>
      </c>
      <c r="Q21" s="2">
        <v>45.3</v>
      </c>
      <c r="R21" s="2">
        <v>122</v>
      </c>
      <c r="S21" s="2">
        <v>36.9</v>
      </c>
      <c r="T21" s="2">
        <v>98.3</v>
      </c>
      <c r="U21" s="2">
        <v>82.5</v>
      </c>
      <c r="V21" s="2">
        <v>148.1</v>
      </c>
      <c r="W21" s="2">
        <v>39</v>
      </c>
      <c r="X21" s="2">
        <v>82.9</v>
      </c>
      <c r="Y21" s="2">
        <v>85.6</v>
      </c>
      <c r="Z21" s="2">
        <v>36</v>
      </c>
      <c r="AA21" s="2">
        <v>46.4</v>
      </c>
    </row>
    <row r="22" spans="1:27" x14ac:dyDescent="0.25">
      <c r="A22">
        <v>2012</v>
      </c>
      <c r="B22" s="16">
        <v>1.8</v>
      </c>
      <c r="C22" s="16">
        <v>0.2</v>
      </c>
      <c r="D22" s="16">
        <v>8.8000000000000007</v>
      </c>
      <c r="E22" s="16">
        <v>11.4</v>
      </c>
      <c r="F22" s="16">
        <v>15.3</v>
      </c>
      <c r="G22" s="16">
        <v>21.3</v>
      </c>
      <c r="H22" s="16">
        <v>24.2</v>
      </c>
      <c r="I22" s="16">
        <v>23.4</v>
      </c>
      <c r="J22" s="16">
        <v>17.7</v>
      </c>
      <c r="K22" s="16">
        <v>12.9</v>
      </c>
      <c r="L22" s="16">
        <v>9.5</v>
      </c>
      <c r="M22" s="16">
        <v>3.4</v>
      </c>
      <c r="O22">
        <v>2012</v>
      </c>
      <c r="P22" s="2">
        <v>20.399999999999999</v>
      </c>
      <c r="Q22" s="2">
        <v>12</v>
      </c>
      <c r="R22" s="2">
        <v>0.3</v>
      </c>
      <c r="S22" s="2">
        <v>60.5</v>
      </c>
      <c r="T22" s="2">
        <v>106.5</v>
      </c>
      <c r="U22" s="2">
        <v>40</v>
      </c>
      <c r="V22" s="2">
        <v>19.100000000000001</v>
      </c>
      <c r="W22" s="2">
        <v>15.1</v>
      </c>
      <c r="X22" s="2">
        <v>144.69999999999999</v>
      </c>
      <c r="Y22" s="2">
        <v>96.2</v>
      </c>
      <c r="Z22" s="2">
        <v>326.2</v>
      </c>
      <c r="AA22" s="2">
        <v>101</v>
      </c>
    </row>
    <row r="23" spans="1:27" x14ac:dyDescent="0.25">
      <c r="A23">
        <v>2013</v>
      </c>
      <c r="B23" s="16">
        <v>3.9</v>
      </c>
      <c r="C23" s="16">
        <v>2.6</v>
      </c>
      <c r="D23" s="16">
        <v>6.2</v>
      </c>
      <c r="E23" s="16">
        <v>12.2</v>
      </c>
      <c r="F23" s="16">
        <v>14.6</v>
      </c>
      <c r="G23" s="16">
        <v>18.600000000000001</v>
      </c>
      <c r="H23" s="16">
        <v>22.4</v>
      </c>
      <c r="I23" s="16">
        <v>21.5</v>
      </c>
      <c r="J23" s="16">
        <v>16.7</v>
      </c>
      <c r="K23" s="16">
        <v>13.2</v>
      </c>
      <c r="L23" s="16">
        <v>9.1</v>
      </c>
      <c r="M23" s="16">
        <v>4.9000000000000004</v>
      </c>
      <c r="O23">
        <v>2013</v>
      </c>
      <c r="P23" s="2">
        <v>98</v>
      </c>
      <c r="Q23" s="2">
        <v>158.6</v>
      </c>
      <c r="R23" s="2">
        <v>184.7</v>
      </c>
      <c r="S23" s="2">
        <v>37.4</v>
      </c>
      <c r="T23" s="2">
        <v>165.8</v>
      </c>
      <c r="U23" s="2">
        <v>79</v>
      </c>
      <c r="V23" s="2">
        <v>43.7</v>
      </c>
      <c r="W23" s="2">
        <v>73.400000000000006</v>
      </c>
      <c r="X23" s="2">
        <v>116.3</v>
      </c>
      <c r="Y23" s="2">
        <v>133.1</v>
      </c>
      <c r="Z23" s="2">
        <v>170.3</v>
      </c>
      <c r="AA23" s="2">
        <v>45.6</v>
      </c>
    </row>
    <row r="24" spans="1:27" x14ac:dyDescent="0.25">
      <c r="A24">
        <v>2014</v>
      </c>
      <c r="B24" s="16">
        <v>7.4</v>
      </c>
      <c r="C24" s="16">
        <v>8</v>
      </c>
      <c r="D24" s="16">
        <v>8.9</v>
      </c>
      <c r="E24" s="16">
        <v>11.9</v>
      </c>
      <c r="F24" s="16">
        <v>14.4</v>
      </c>
      <c r="G24" s="16">
        <v>19.600000000000001</v>
      </c>
      <c r="H24" s="16">
        <v>20</v>
      </c>
      <c r="I24" s="16">
        <v>19.399999999999999</v>
      </c>
      <c r="J24" s="16">
        <v>15.7</v>
      </c>
      <c r="K24" s="16">
        <v>13</v>
      </c>
      <c r="L24" s="16">
        <v>11</v>
      </c>
      <c r="M24" s="16">
        <v>5.5</v>
      </c>
      <c r="O24">
        <v>2014</v>
      </c>
      <c r="P24" s="2">
        <v>153.1</v>
      </c>
      <c r="Q24" s="2">
        <v>240.8</v>
      </c>
      <c r="R24" s="2">
        <v>75.900000000000006</v>
      </c>
      <c r="S24" s="2">
        <v>46.1</v>
      </c>
      <c r="T24" s="2">
        <v>113.4</v>
      </c>
      <c r="U24" s="2">
        <v>74.900000000000006</v>
      </c>
      <c r="V24" s="2">
        <v>156</v>
      </c>
      <c r="W24" s="2">
        <v>90.5</v>
      </c>
      <c r="X24" s="2">
        <v>166.9</v>
      </c>
      <c r="Y24" s="2">
        <v>66.3</v>
      </c>
      <c r="Z24" s="2">
        <v>276.7</v>
      </c>
      <c r="AA24" s="2">
        <v>156.19999999999999</v>
      </c>
    </row>
    <row r="25" spans="1:27" x14ac:dyDescent="0.25">
      <c r="A25">
        <v>2015</v>
      </c>
      <c r="B25" s="16">
        <v>4</v>
      </c>
      <c r="C25" s="16">
        <v>3.9</v>
      </c>
      <c r="D25" s="16">
        <v>7.4</v>
      </c>
      <c r="E25" s="16">
        <v>10.4</v>
      </c>
      <c r="F25" s="16">
        <v>16</v>
      </c>
      <c r="G25" s="16">
        <v>20.2</v>
      </c>
      <c r="H25" s="16">
        <v>24.9</v>
      </c>
      <c r="I25" s="16">
        <v>21.7</v>
      </c>
      <c r="J25" s="16">
        <v>16.8</v>
      </c>
      <c r="K25" s="16">
        <v>11.9</v>
      </c>
      <c r="L25" s="16">
        <v>7.3</v>
      </c>
      <c r="M25" s="16">
        <v>4.5999999999999996</v>
      </c>
      <c r="O25">
        <v>2015</v>
      </c>
      <c r="P25" s="2">
        <v>59.8</v>
      </c>
      <c r="Q25" s="2">
        <v>39</v>
      </c>
      <c r="R25" s="2">
        <v>54.7</v>
      </c>
      <c r="S25" s="2">
        <v>42.5</v>
      </c>
      <c r="T25" s="2">
        <v>42.8</v>
      </c>
      <c r="U25" s="2">
        <v>46.7</v>
      </c>
      <c r="V25" s="2">
        <v>54.8</v>
      </c>
      <c r="W25" s="2">
        <v>112.7</v>
      </c>
      <c r="X25" s="2">
        <v>63.3</v>
      </c>
      <c r="Y25" s="2">
        <v>186.8</v>
      </c>
      <c r="Z25" s="2">
        <v>34</v>
      </c>
      <c r="AA25" s="2">
        <v>1.7</v>
      </c>
    </row>
    <row r="26" spans="1:27" x14ac:dyDescent="0.25">
      <c r="A26">
        <v>2016</v>
      </c>
      <c r="B26" s="16">
        <v>3.8</v>
      </c>
      <c r="C26" s="16">
        <v>7.2</v>
      </c>
      <c r="D26" s="16">
        <v>7.7</v>
      </c>
      <c r="E26" s="16">
        <v>11.7</v>
      </c>
      <c r="F26" s="16">
        <v>14.2</v>
      </c>
      <c r="G26" s="16">
        <v>19.2</v>
      </c>
      <c r="H26" s="16">
        <v>22.5</v>
      </c>
      <c r="I26" s="16">
        <v>20.5</v>
      </c>
      <c r="J26" s="16">
        <v>17.399999999999999</v>
      </c>
      <c r="K26" s="16">
        <v>11.4</v>
      </c>
      <c r="L26" s="16">
        <v>8.4</v>
      </c>
      <c r="M26" s="16">
        <v>3.1</v>
      </c>
      <c r="O26">
        <v>2016</v>
      </c>
      <c r="P26" s="2">
        <v>106.8</v>
      </c>
      <c r="Q26" s="2">
        <v>238.3</v>
      </c>
      <c r="R26" s="2">
        <v>98</v>
      </c>
      <c r="S26" s="2">
        <v>55</v>
      </c>
      <c r="T26" s="2">
        <v>114.8</v>
      </c>
      <c r="U26" s="2">
        <v>296.39999999999998</v>
      </c>
      <c r="V26" s="2">
        <v>35.700000000000003</v>
      </c>
      <c r="W26" s="2">
        <v>67</v>
      </c>
      <c r="X26" s="2">
        <v>94.6</v>
      </c>
      <c r="Y26" s="2">
        <v>187.3</v>
      </c>
      <c r="Z26" s="2">
        <v>228</v>
      </c>
      <c r="AA26" s="2">
        <v>1.7</v>
      </c>
    </row>
    <row r="27" spans="1:27" x14ac:dyDescent="0.25">
      <c r="A27">
        <v>2017</v>
      </c>
      <c r="B27" s="2">
        <v>-0.2</v>
      </c>
      <c r="C27" s="2">
        <v>5.9</v>
      </c>
      <c r="D27" s="2">
        <v>9.1999999999999993</v>
      </c>
      <c r="E27" s="2">
        <v>10.8</v>
      </c>
      <c r="F27" s="2">
        <v>15.5</v>
      </c>
      <c r="G27" s="2">
        <v>21.4</v>
      </c>
      <c r="H27" s="2">
        <v>22.7</v>
      </c>
      <c r="I27" s="2">
        <v>22.9</v>
      </c>
      <c r="J27" s="2">
        <v>14.8</v>
      </c>
      <c r="K27" s="2">
        <v>11.6</v>
      </c>
      <c r="L27" s="2">
        <v>7.4</v>
      </c>
      <c r="M27" s="2">
        <v>3.4</v>
      </c>
      <c r="O27">
        <v>2017</v>
      </c>
      <c r="P27" s="2">
        <v>40</v>
      </c>
      <c r="Q27" s="2">
        <v>190.1</v>
      </c>
      <c r="R27" s="2">
        <v>41.5</v>
      </c>
      <c r="S27" s="2">
        <v>90.9</v>
      </c>
      <c r="T27" s="2">
        <v>64.3</v>
      </c>
      <c r="U27" s="2">
        <v>44.2</v>
      </c>
      <c r="V27" s="2">
        <v>13.8</v>
      </c>
      <c r="W27" s="2">
        <v>59.1</v>
      </c>
      <c r="X27" s="2">
        <v>368.3</v>
      </c>
      <c r="Y27" s="2">
        <v>44.4</v>
      </c>
      <c r="Z27" s="2">
        <v>194.1</v>
      </c>
      <c r="AA27" s="2">
        <v>226.9</v>
      </c>
    </row>
    <row r="28" spans="1:27" x14ac:dyDescent="0.25">
      <c r="A28">
        <v>2018</v>
      </c>
      <c r="B28" s="2">
        <v>6.1</v>
      </c>
      <c r="C28" s="2">
        <v>1.8</v>
      </c>
      <c r="D28" s="2">
        <v>6.3</v>
      </c>
      <c r="E28" s="2">
        <v>13.8</v>
      </c>
      <c r="F28" s="2">
        <v>17.100000000000001</v>
      </c>
      <c r="G28" s="2">
        <v>19.7</v>
      </c>
      <c r="H28" s="2">
        <v>21.6</v>
      </c>
      <c r="I28" s="2">
        <v>22.3</v>
      </c>
      <c r="J28" s="2">
        <v>17.2</v>
      </c>
      <c r="K28" s="2">
        <v>13.5</v>
      </c>
      <c r="L28" s="2">
        <v>9.6</v>
      </c>
      <c r="M28" s="2">
        <v>3.8</v>
      </c>
      <c r="O28">
        <v>2018</v>
      </c>
      <c r="P28" s="2">
        <v>66.099999999999994</v>
      </c>
      <c r="Q28" s="2">
        <v>124.4</v>
      </c>
      <c r="R28" s="2">
        <v>148.80000000000001</v>
      </c>
      <c r="S28" s="2">
        <v>57.7</v>
      </c>
      <c r="T28" s="2">
        <v>110.1</v>
      </c>
      <c r="U28" s="2">
        <v>138.6</v>
      </c>
      <c r="V28" s="2">
        <v>65.599999999999994</v>
      </c>
      <c r="W28" s="2">
        <v>73.599999999999994</v>
      </c>
      <c r="X28" s="2">
        <v>84.5</v>
      </c>
      <c r="Y28" s="2">
        <v>235</v>
      </c>
      <c r="Z28" s="2">
        <v>95.4</v>
      </c>
      <c r="AA28" s="2">
        <v>57.6</v>
      </c>
    </row>
    <row r="29" spans="1:27" x14ac:dyDescent="0.25">
      <c r="A29">
        <v>2019</v>
      </c>
      <c r="B29" s="2">
        <v>1.9</v>
      </c>
      <c r="C29" s="2">
        <v>5.4</v>
      </c>
      <c r="D29" s="2">
        <v>8.5</v>
      </c>
      <c r="E29" s="2">
        <v>11.1</v>
      </c>
      <c r="F29" s="2">
        <v>12.5</v>
      </c>
      <c r="G29" s="2">
        <v>22.3</v>
      </c>
      <c r="H29" s="2">
        <v>22.3</v>
      </c>
      <c r="I29" s="2">
        <v>22.3</v>
      </c>
      <c r="J29" s="2">
        <v>16.399999999999999</v>
      </c>
      <c r="K29" s="2">
        <v>13.1</v>
      </c>
      <c r="L29" s="2">
        <v>10.4</v>
      </c>
      <c r="M29" s="2">
        <v>5.9</v>
      </c>
      <c r="O29">
        <v>2019</v>
      </c>
      <c r="P29" s="2">
        <v>30.3</v>
      </c>
      <c r="Q29" s="2">
        <v>151.19999999999999</v>
      </c>
      <c r="R29" s="2">
        <v>23.4</v>
      </c>
      <c r="S29" s="2">
        <v>135.1</v>
      </c>
      <c r="T29" s="2">
        <v>295.10000000000002</v>
      </c>
      <c r="U29" s="2">
        <v>26</v>
      </c>
      <c r="V29" s="2">
        <v>72.599999999999994</v>
      </c>
      <c r="W29" s="2">
        <v>96.7</v>
      </c>
      <c r="X29" s="2">
        <v>90.5</v>
      </c>
      <c r="Y29" s="2">
        <v>26.4</v>
      </c>
      <c r="Z29" s="2">
        <v>320.3</v>
      </c>
      <c r="AA29" s="2">
        <v>230.4</v>
      </c>
    </row>
    <row r="30" spans="1:27" x14ac:dyDescent="0.25">
      <c r="A30">
        <v>2020</v>
      </c>
      <c r="B30" s="2">
        <v>3.5</v>
      </c>
      <c r="C30" s="2">
        <v>6.4</v>
      </c>
      <c r="D30" s="2">
        <v>7.2</v>
      </c>
      <c r="E30" s="2">
        <v>11.5</v>
      </c>
      <c r="F30" s="2">
        <v>15.8</v>
      </c>
      <c r="G30" s="2">
        <v>19</v>
      </c>
      <c r="H30" s="2">
        <v>21.4</v>
      </c>
      <c r="I30" s="2">
        <v>21.8</v>
      </c>
      <c r="J30" s="2">
        <v>17.2</v>
      </c>
      <c r="K30" s="2">
        <v>11.4</v>
      </c>
      <c r="L30" s="2">
        <v>7.4</v>
      </c>
      <c r="M30" s="2">
        <v>6.3</v>
      </c>
      <c r="O30">
        <v>2020</v>
      </c>
      <c r="P30" s="2">
        <v>11.7</v>
      </c>
      <c r="Q30" s="2">
        <v>24.1</v>
      </c>
      <c r="R30" s="2">
        <v>85.1</v>
      </c>
      <c r="S30" s="2">
        <v>13.9</v>
      </c>
      <c r="T30" s="2">
        <v>67.2</v>
      </c>
      <c r="U30" s="2">
        <v>181.8</v>
      </c>
      <c r="V30" s="2">
        <v>57</v>
      </c>
      <c r="W30" s="2">
        <v>113</v>
      </c>
      <c r="X30" s="2">
        <v>165.1</v>
      </c>
      <c r="Y30" s="2">
        <v>176.8</v>
      </c>
      <c r="Z30" s="2">
        <v>33.1</v>
      </c>
      <c r="AA30" s="2">
        <v>341</v>
      </c>
    </row>
    <row r="31" spans="1:27" x14ac:dyDescent="0.25">
      <c r="A31">
        <v>2021</v>
      </c>
      <c r="B31" s="2">
        <v>3</v>
      </c>
      <c r="C31" s="2">
        <v>6.6</v>
      </c>
      <c r="D31" s="2">
        <v>6</v>
      </c>
      <c r="E31" s="2">
        <v>8.6999999999999993</v>
      </c>
      <c r="F31" s="2">
        <v>14.2</v>
      </c>
      <c r="G31" s="2">
        <v>21.1</v>
      </c>
      <c r="H31" s="2">
        <v>22.9</v>
      </c>
      <c r="I31" s="2">
        <v>20.7</v>
      </c>
      <c r="J31" s="2">
        <v>16.8</v>
      </c>
      <c r="K31" s="2">
        <v>10.5</v>
      </c>
      <c r="L31" s="2">
        <v>8.3000000000000007</v>
      </c>
      <c r="M31" s="2">
        <v>4.2</v>
      </c>
      <c r="O31">
        <v>2021</v>
      </c>
      <c r="P31" s="2">
        <v>107.4</v>
      </c>
      <c r="Q31" s="2">
        <v>93.2</v>
      </c>
      <c r="R31" s="2">
        <v>44</v>
      </c>
      <c r="S31" s="2">
        <v>118.6</v>
      </c>
      <c r="T31" s="2">
        <v>99.1</v>
      </c>
      <c r="U31" s="2">
        <v>11</v>
      </c>
      <c r="V31" s="2">
        <v>85.6</v>
      </c>
      <c r="W31" s="2">
        <v>47.5</v>
      </c>
      <c r="X31" s="2">
        <v>23</v>
      </c>
      <c r="Y31" s="2">
        <v>37</v>
      </c>
      <c r="Z31" s="2">
        <v>104.6</v>
      </c>
      <c r="AA31" s="2">
        <v>97.5</v>
      </c>
    </row>
    <row r="32" spans="1:27" x14ac:dyDescent="0.25">
      <c r="A32">
        <v>2022</v>
      </c>
      <c r="B32" s="2">
        <v>2.9</v>
      </c>
      <c r="C32" s="2">
        <v>5</v>
      </c>
      <c r="D32" s="2">
        <v>5.2</v>
      </c>
      <c r="E32" s="2">
        <v>10.1</v>
      </c>
      <c r="F32" s="2">
        <v>17.100000000000001</v>
      </c>
      <c r="G32" s="2">
        <v>22.4</v>
      </c>
      <c r="H32" s="2">
        <v>24.4</v>
      </c>
      <c r="I32" s="2">
        <v>22.5</v>
      </c>
      <c r="J32" s="2">
        <v>16.399999999999999</v>
      </c>
      <c r="K32" s="2">
        <v>14.4</v>
      </c>
      <c r="L32" s="2">
        <v>8.4</v>
      </c>
      <c r="M32" s="2">
        <v>7.2</v>
      </c>
      <c r="O32">
        <v>2022</v>
      </c>
      <c r="P32" s="2">
        <v>8.8000000000000007</v>
      </c>
      <c r="Q32" s="2">
        <v>55.3</v>
      </c>
      <c r="R32" s="2">
        <v>19.7</v>
      </c>
      <c r="S32" s="2">
        <v>61.6</v>
      </c>
      <c r="T32" s="2">
        <v>60.7</v>
      </c>
      <c r="U32" s="2">
        <v>35</v>
      </c>
      <c r="V32" s="2">
        <v>41.3</v>
      </c>
      <c r="W32" s="2">
        <v>55.4</v>
      </c>
      <c r="X32" s="2">
        <v>169.6</v>
      </c>
      <c r="Y32" s="2">
        <v>18.2</v>
      </c>
      <c r="Z32" s="2">
        <v>128.19999999999999</v>
      </c>
      <c r="AA32" s="2">
        <v>155.80000000000001</v>
      </c>
    </row>
    <row r="33" spans="1:27" x14ac:dyDescent="0.25">
      <c r="A33">
        <v>2023</v>
      </c>
      <c r="B33" s="2">
        <v>5.3</v>
      </c>
      <c r="C33" s="2">
        <v>3.9</v>
      </c>
      <c r="D33" s="2">
        <v>8.3000000000000007</v>
      </c>
      <c r="E33" s="2">
        <v>9.5</v>
      </c>
      <c r="F33" s="2">
        <v>16.100000000000001</v>
      </c>
      <c r="G33" s="2">
        <v>20</v>
      </c>
      <c r="H33" s="2">
        <v>23</v>
      </c>
      <c r="I33" s="2">
        <v>21.5</v>
      </c>
      <c r="J33" s="2">
        <v>18.8</v>
      </c>
      <c r="K33" s="2">
        <v>15.3</v>
      </c>
      <c r="L33" s="2">
        <v>8.4</v>
      </c>
      <c r="M33" s="2">
        <v>6.8</v>
      </c>
      <c r="O33">
        <v>2023</v>
      </c>
      <c r="P33" s="2">
        <v>91.7</v>
      </c>
      <c r="Q33" s="2">
        <v>33.4</v>
      </c>
      <c r="R33" s="2">
        <v>45</v>
      </c>
      <c r="S33" s="2">
        <v>104.5</v>
      </c>
      <c r="T33" s="2">
        <v>48.5</v>
      </c>
      <c r="U33" s="2">
        <v>160</v>
      </c>
      <c r="V33" s="2">
        <v>148.4</v>
      </c>
      <c r="W33" s="2">
        <v>146.19999999999999</v>
      </c>
      <c r="X33" s="2">
        <v>44.3</v>
      </c>
      <c r="Y33" s="2">
        <v>155.1</v>
      </c>
      <c r="Z33" s="2">
        <v>170.8</v>
      </c>
      <c r="AA33" s="2">
        <v>102.4</v>
      </c>
    </row>
    <row r="34" spans="1:27" x14ac:dyDescent="0.25">
      <c r="A34">
        <v>2024</v>
      </c>
      <c r="B34">
        <v>4.2</v>
      </c>
      <c r="C34">
        <v>8.4</v>
      </c>
      <c r="D34">
        <v>9.6999999999999993</v>
      </c>
      <c r="E34">
        <v>11.8</v>
      </c>
      <c r="F34">
        <v>16.100000000000001</v>
      </c>
      <c r="G34">
        <v>21</v>
      </c>
      <c r="H34">
        <v>24.2</v>
      </c>
      <c r="I34">
        <v>24</v>
      </c>
      <c r="J34">
        <v>17.3</v>
      </c>
      <c r="K34">
        <v>14.7</v>
      </c>
      <c r="L34">
        <v>6.9</v>
      </c>
      <c r="M34">
        <v>4.5</v>
      </c>
      <c r="O34">
        <v>2024</v>
      </c>
      <c r="P34">
        <v>94.2</v>
      </c>
      <c r="Q34">
        <v>108.3</v>
      </c>
      <c r="R34">
        <v>159.4</v>
      </c>
      <c r="S34">
        <v>87.6</v>
      </c>
      <c r="T34">
        <v>145</v>
      </c>
      <c r="U34">
        <v>78.8</v>
      </c>
      <c r="V34">
        <v>87.4</v>
      </c>
      <c r="W34">
        <v>58.3</v>
      </c>
      <c r="X34">
        <v>133.69999999999999</v>
      </c>
      <c r="Y34">
        <v>190.9</v>
      </c>
      <c r="Z34">
        <v>51.5</v>
      </c>
      <c r="AA34">
        <v>71.900000000000006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16D2-ED2F-42FC-B765-DBF1C8B6B7FB}">
  <dimension ref="A1:AA40"/>
  <sheetViews>
    <sheetView topLeftCell="A17" workbookViewId="0">
      <selection activeCell="S42" sqref="S42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7.1266666666666669</v>
      </c>
      <c r="C2" s="4">
        <f t="shared" ref="C2:L2" si="0">AVERAGE(C5:C46)</f>
        <v>8.2233333333333345</v>
      </c>
      <c r="D2" s="4">
        <f t="shared" si="0"/>
        <v>10.936666666666667</v>
      </c>
      <c r="E2" s="4">
        <f t="shared" si="0"/>
        <v>14.500000000000002</v>
      </c>
      <c r="F2" s="4">
        <f t="shared" si="0"/>
        <v>19.143333333333334</v>
      </c>
      <c r="G2" s="4">
        <f t="shared" si="0"/>
        <v>23.576666666666672</v>
      </c>
      <c r="H2" s="4">
        <f t="shared" si="0"/>
        <v>26.163333333333334</v>
      </c>
      <c r="I2" s="4">
        <f t="shared" si="0"/>
        <v>25.776666666666667</v>
      </c>
      <c r="J2" s="4">
        <f t="shared" si="0"/>
        <v>21.076666666666661</v>
      </c>
      <c r="K2" s="4">
        <f t="shared" si="0"/>
        <v>16.533333333333335</v>
      </c>
      <c r="L2" s="4">
        <f t="shared" si="0"/>
        <v>12.099999999999998</v>
      </c>
      <c r="M2" s="4">
        <f>AVERAGE(M5:M46)</f>
        <v>8.3400000000000034</v>
      </c>
      <c r="O2" s="30"/>
      <c r="P2" s="4">
        <f>AVERAGE(P5:P46)</f>
        <v>125.13000000000002</v>
      </c>
      <c r="Q2" s="4">
        <f t="shared" ref="Q2:Z2" si="1">AVERAGE(Q5:Q46)</f>
        <v>96.166666666666686</v>
      </c>
      <c r="R2" s="4">
        <f t="shared" si="1"/>
        <v>99.249999999999972</v>
      </c>
      <c r="S2" s="4">
        <f t="shared" si="1"/>
        <v>83.443333333333342</v>
      </c>
      <c r="T2" s="4">
        <f t="shared" si="1"/>
        <v>65.233333333333334</v>
      </c>
      <c r="U2" s="4">
        <f t="shared" si="1"/>
        <v>48.019999999999996</v>
      </c>
      <c r="V2" s="4">
        <f t="shared" si="1"/>
        <v>26.52</v>
      </c>
      <c r="W2" s="4">
        <f t="shared" si="1"/>
        <v>51.64</v>
      </c>
      <c r="X2" s="4">
        <f t="shared" si="1"/>
        <v>107.16333333333334</v>
      </c>
      <c r="Y2" s="4">
        <f t="shared" si="1"/>
        <v>91.760000000000034</v>
      </c>
      <c r="Z2" s="4">
        <f t="shared" si="1"/>
        <v>163.24666666666664</v>
      </c>
      <c r="AA2" s="4">
        <f>AVERAGE(AA5:AA46)</f>
        <v>160.48999999999998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6.4</v>
      </c>
      <c r="C5" s="2">
        <v>10</v>
      </c>
      <c r="D5" s="2">
        <v>9.6</v>
      </c>
      <c r="E5" s="2">
        <v>12.5</v>
      </c>
      <c r="F5" s="2">
        <v>17.3</v>
      </c>
      <c r="G5" s="2">
        <v>21.3</v>
      </c>
      <c r="H5" s="2">
        <v>26</v>
      </c>
      <c r="I5" s="2">
        <v>23.6</v>
      </c>
      <c r="J5" s="2">
        <v>18.600000000000001</v>
      </c>
      <c r="K5" s="2">
        <v>16.2</v>
      </c>
      <c r="L5" s="2">
        <v>9.4</v>
      </c>
      <c r="M5" s="2">
        <v>9.6999999999999993</v>
      </c>
      <c r="O5">
        <v>1995</v>
      </c>
      <c r="P5" s="2">
        <v>77.900000000000006</v>
      </c>
      <c r="Q5" s="2">
        <v>51</v>
      </c>
      <c r="R5" s="2">
        <v>170.2</v>
      </c>
      <c r="S5" s="2">
        <v>78.5</v>
      </c>
      <c r="T5" s="2">
        <v>109.5</v>
      </c>
      <c r="U5" s="2">
        <v>71.5</v>
      </c>
      <c r="V5" s="2">
        <v>18.3</v>
      </c>
      <c r="W5" s="2">
        <v>188.7</v>
      </c>
      <c r="X5" s="2">
        <v>246.8</v>
      </c>
      <c r="Y5" s="2">
        <v>8.8000000000000007</v>
      </c>
      <c r="Z5" s="2">
        <v>151.80000000000001</v>
      </c>
      <c r="AA5" s="2">
        <v>341.8</v>
      </c>
    </row>
    <row r="6" spans="1:27" x14ac:dyDescent="0.25">
      <c r="A6">
        <v>1996</v>
      </c>
      <c r="B6" s="2">
        <v>8.6</v>
      </c>
      <c r="C6" s="2">
        <v>6.1</v>
      </c>
      <c r="D6" s="2">
        <v>8.6999999999999993</v>
      </c>
      <c r="E6" s="2">
        <v>13.9</v>
      </c>
      <c r="F6" s="2">
        <v>18.8</v>
      </c>
      <c r="G6" s="2">
        <v>23.1</v>
      </c>
      <c r="H6" s="2">
        <v>24.2</v>
      </c>
      <c r="I6" s="2">
        <v>24.1</v>
      </c>
      <c r="J6" s="2">
        <v>17.399999999999999</v>
      </c>
      <c r="K6" s="2">
        <v>15.4</v>
      </c>
      <c r="L6" s="2">
        <v>12.7</v>
      </c>
      <c r="M6" s="2">
        <v>7.8</v>
      </c>
      <c r="O6">
        <v>1996</v>
      </c>
      <c r="P6" s="2">
        <v>144</v>
      </c>
      <c r="Q6" s="2">
        <v>108.5</v>
      </c>
      <c r="R6" s="2">
        <v>64.5</v>
      </c>
      <c r="S6" s="2">
        <v>49.5</v>
      </c>
      <c r="T6" s="2">
        <v>55.9</v>
      </c>
      <c r="U6" s="2">
        <v>10.9</v>
      </c>
      <c r="V6" s="2">
        <v>0.6</v>
      </c>
      <c r="W6" s="2">
        <v>79.400000000000006</v>
      </c>
      <c r="X6" s="2">
        <v>261.60000000000002</v>
      </c>
      <c r="Y6" s="2">
        <v>61</v>
      </c>
      <c r="Z6" s="2">
        <v>222</v>
      </c>
      <c r="AA6" s="2">
        <v>184.2</v>
      </c>
    </row>
    <row r="7" spans="1:27" x14ac:dyDescent="0.25">
      <c r="A7">
        <v>1997</v>
      </c>
      <c r="B7" s="2">
        <v>8.8000000000000007</v>
      </c>
      <c r="C7" s="2">
        <v>8.1999999999999993</v>
      </c>
      <c r="D7" s="2">
        <v>11.1</v>
      </c>
      <c r="E7" s="2">
        <v>10.4</v>
      </c>
      <c r="F7" s="2">
        <v>18.5</v>
      </c>
      <c r="G7" s="2">
        <v>22.5</v>
      </c>
      <c r="H7" s="2">
        <v>24.2</v>
      </c>
      <c r="I7" s="2">
        <v>24</v>
      </c>
      <c r="J7" s="2">
        <v>21.4</v>
      </c>
      <c r="K7" s="2">
        <v>14.3</v>
      </c>
      <c r="L7" s="2">
        <v>12.3</v>
      </c>
      <c r="M7" s="2">
        <v>8.9</v>
      </c>
      <c r="O7">
        <v>1997</v>
      </c>
      <c r="P7" s="2">
        <v>89.9</v>
      </c>
      <c r="Q7" s="2">
        <v>85.7</v>
      </c>
      <c r="R7" s="2">
        <v>20.100000000000001</v>
      </c>
      <c r="S7" s="2">
        <v>162.19999999999999</v>
      </c>
      <c r="T7" s="2">
        <v>31.9</v>
      </c>
      <c r="U7" s="2">
        <v>54.4</v>
      </c>
      <c r="V7" s="2">
        <v>22</v>
      </c>
      <c r="W7" s="2">
        <v>33</v>
      </c>
      <c r="X7" s="2">
        <v>4.9000000000000004</v>
      </c>
      <c r="Y7" s="2">
        <v>108</v>
      </c>
      <c r="Z7" s="2">
        <v>180.9</v>
      </c>
      <c r="AA7" s="2">
        <v>174.7</v>
      </c>
    </row>
    <row r="8" spans="1:27" x14ac:dyDescent="0.25">
      <c r="A8">
        <v>1998</v>
      </c>
      <c r="B8" s="2">
        <v>8.3000000000000007</v>
      </c>
      <c r="C8" s="2">
        <v>9.6</v>
      </c>
      <c r="D8" s="2">
        <v>9.1</v>
      </c>
      <c r="E8" s="2">
        <v>14.3</v>
      </c>
      <c r="F8" s="2">
        <v>18.3</v>
      </c>
      <c r="G8" s="2">
        <v>23.3</v>
      </c>
      <c r="H8" s="2">
        <v>26</v>
      </c>
      <c r="I8" s="2">
        <v>26.2</v>
      </c>
      <c r="J8" s="2">
        <v>20.399999999999999</v>
      </c>
      <c r="K8" s="2">
        <v>16.600000000000001</v>
      </c>
      <c r="L8" s="2">
        <v>10</v>
      </c>
      <c r="M8" s="2">
        <v>5.6</v>
      </c>
      <c r="O8">
        <v>1998</v>
      </c>
      <c r="P8" s="2">
        <v>96.7</v>
      </c>
      <c r="Q8" s="2">
        <v>45.9</v>
      </c>
      <c r="R8" s="2">
        <v>10.7</v>
      </c>
      <c r="S8" s="2">
        <v>83.3</v>
      </c>
      <c r="T8" s="2">
        <v>95.9</v>
      </c>
      <c r="U8" s="2">
        <v>13.4</v>
      </c>
      <c r="V8" s="2">
        <v>8.6999999999999993</v>
      </c>
      <c r="W8" s="2">
        <v>31.7</v>
      </c>
      <c r="X8" s="2">
        <v>143.9</v>
      </c>
      <c r="Y8" s="2">
        <v>77.400000000000006</v>
      </c>
      <c r="Z8" s="2">
        <v>173.7</v>
      </c>
      <c r="AA8" s="2">
        <v>246.1</v>
      </c>
    </row>
    <row r="9" spans="1:27" x14ac:dyDescent="0.25">
      <c r="A9">
        <v>1999</v>
      </c>
      <c r="B9" s="2">
        <v>6.9</v>
      </c>
      <c r="C9" s="2">
        <v>6.1</v>
      </c>
      <c r="D9" s="2">
        <v>10.9</v>
      </c>
      <c r="E9" s="2">
        <v>14.3</v>
      </c>
      <c r="F9" s="2">
        <v>19.5</v>
      </c>
      <c r="G9" s="2">
        <v>23.2</v>
      </c>
      <c r="H9" s="2">
        <v>25.1</v>
      </c>
      <c r="I9" s="2">
        <v>25.3</v>
      </c>
      <c r="J9" s="2">
        <v>21.9</v>
      </c>
      <c r="K9" s="2">
        <v>17</v>
      </c>
      <c r="L9" s="2">
        <v>11.2</v>
      </c>
      <c r="M9" s="2">
        <v>8.6999999999999993</v>
      </c>
      <c r="O9">
        <v>1999</v>
      </c>
      <c r="P9" s="16">
        <v>80.900000000000006</v>
      </c>
      <c r="Q9" s="16">
        <v>65.8</v>
      </c>
      <c r="R9" s="16">
        <v>66.2</v>
      </c>
      <c r="S9" s="16">
        <v>111.3</v>
      </c>
      <c r="T9" s="16">
        <v>66.599999999999994</v>
      </c>
      <c r="U9" s="16">
        <v>46.6</v>
      </c>
      <c r="V9" s="16">
        <v>18.899999999999999</v>
      </c>
      <c r="W9" s="16">
        <v>70.599999999999994</v>
      </c>
      <c r="X9" s="16">
        <v>51.4</v>
      </c>
      <c r="Y9" s="16">
        <v>80.099999999999994</v>
      </c>
      <c r="Z9" s="16">
        <v>121.5</v>
      </c>
      <c r="AA9" s="16">
        <v>237.8</v>
      </c>
    </row>
    <row r="10" spans="1:27" x14ac:dyDescent="0.25">
      <c r="A10">
        <v>2000</v>
      </c>
      <c r="B10" s="2">
        <v>4.4000000000000004</v>
      </c>
      <c r="C10" s="2">
        <v>7.6</v>
      </c>
      <c r="D10" s="2">
        <v>10</v>
      </c>
      <c r="E10" s="2">
        <v>15.5</v>
      </c>
      <c r="F10" s="2">
        <v>20.6</v>
      </c>
      <c r="G10" s="2">
        <v>23.8</v>
      </c>
      <c r="H10" s="2">
        <v>24.6</v>
      </c>
      <c r="I10" s="2">
        <v>26</v>
      </c>
      <c r="J10" s="2">
        <v>21</v>
      </c>
      <c r="K10" s="2">
        <v>17.399999999999999</v>
      </c>
      <c r="L10" s="2">
        <v>14.5</v>
      </c>
      <c r="M10" s="2">
        <v>9.1999999999999993</v>
      </c>
      <c r="O10">
        <v>2000</v>
      </c>
      <c r="P10" s="16">
        <v>78.7</v>
      </c>
      <c r="Q10" s="16">
        <v>37</v>
      </c>
      <c r="R10" s="16">
        <v>42</v>
      </c>
      <c r="S10" s="16">
        <v>71.400000000000006</v>
      </c>
      <c r="T10" s="16">
        <v>15.8</v>
      </c>
      <c r="U10" s="16">
        <v>16.2</v>
      </c>
      <c r="V10" s="16">
        <v>43.5</v>
      </c>
      <c r="W10" s="16">
        <v>0</v>
      </c>
      <c r="X10" s="16">
        <v>45.8</v>
      </c>
      <c r="Y10" s="16">
        <v>86</v>
      </c>
      <c r="Z10" s="16">
        <v>239.8</v>
      </c>
      <c r="AA10" s="16">
        <v>220.2</v>
      </c>
    </row>
    <row r="11" spans="1:27" x14ac:dyDescent="0.25">
      <c r="A11">
        <v>2001</v>
      </c>
      <c r="B11" s="2">
        <v>9.5</v>
      </c>
      <c r="C11" s="2">
        <v>8.9</v>
      </c>
      <c r="D11" s="2">
        <v>13.5</v>
      </c>
      <c r="E11" s="2">
        <v>13.3</v>
      </c>
      <c r="F11" s="2">
        <v>19.7</v>
      </c>
      <c r="G11" s="2">
        <v>21.7</v>
      </c>
      <c r="H11" s="2">
        <v>25.7</v>
      </c>
      <c r="I11" s="2">
        <v>26.3</v>
      </c>
      <c r="J11" s="2">
        <v>18.7</v>
      </c>
      <c r="K11" s="2">
        <v>17.600000000000001</v>
      </c>
      <c r="L11" s="2">
        <v>10.9</v>
      </c>
      <c r="M11" s="2">
        <v>5.0999999999999996</v>
      </c>
      <c r="O11">
        <v>2001</v>
      </c>
      <c r="P11" s="16">
        <v>207.5</v>
      </c>
      <c r="Q11" s="16">
        <v>25.6</v>
      </c>
      <c r="R11" s="16">
        <v>209.3</v>
      </c>
      <c r="S11" s="16">
        <v>89.8</v>
      </c>
      <c r="T11" s="16">
        <v>34</v>
      </c>
      <c r="U11" s="16">
        <v>29</v>
      </c>
      <c r="V11" s="16">
        <v>4.7</v>
      </c>
      <c r="W11" s="16">
        <v>2.1</v>
      </c>
      <c r="X11" s="16">
        <v>108.6</v>
      </c>
      <c r="Y11" s="16">
        <v>24.1</v>
      </c>
      <c r="Z11" s="16">
        <v>175.4</v>
      </c>
      <c r="AA11" s="16">
        <v>18.600000000000001</v>
      </c>
    </row>
    <row r="12" spans="1:27" x14ac:dyDescent="0.25">
      <c r="A12">
        <v>2002</v>
      </c>
      <c r="B12" s="6">
        <v>5.7</v>
      </c>
      <c r="C12" s="6">
        <v>10.3</v>
      </c>
      <c r="D12" s="6">
        <v>13</v>
      </c>
      <c r="E12" s="6">
        <v>14.5</v>
      </c>
      <c r="F12" s="6">
        <v>19.3</v>
      </c>
      <c r="G12" s="6">
        <v>24</v>
      </c>
      <c r="H12" s="6">
        <v>25.4</v>
      </c>
      <c r="I12" s="6">
        <v>23.9</v>
      </c>
      <c r="J12" s="6">
        <v>19.8</v>
      </c>
      <c r="K12" s="6">
        <v>16</v>
      </c>
      <c r="L12" s="6">
        <v>13.8</v>
      </c>
      <c r="M12" s="6">
        <v>9.1</v>
      </c>
      <c r="O12">
        <v>2002</v>
      </c>
      <c r="P12" s="17">
        <v>136</v>
      </c>
      <c r="Q12" s="17">
        <v>49</v>
      </c>
      <c r="R12" s="17">
        <v>16</v>
      </c>
      <c r="S12" s="17">
        <v>88</v>
      </c>
      <c r="T12" s="17">
        <v>101</v>
      </c>
      <c r="U12" s="17">
        <v>12</v>
      </c>
      <c r="V12" s="17">
        <v>47</v>
      </c>
      <c r="W12" s="17">
        <v>234</v>
      </c>
      <c r="X12" s="17">
        <v>56</v>
      </c>
      <c r="Y12" s="17">
        <v>135</v>
      </c>
      <c r="Z12" s="17">
        <v>77</v>
      </c>
      <c r="AA12" s="17">
        <v>118</v>
      </c>
    </row>
    <row r="13" spans="1:27" x14ac:dyDescent="0.25">
      <c r="A13">
        <v>2003</v>
      </c>
      <c r="B13" s="6">
        <v>8.1</v>
      </c>
      <c r="C13" s="6">
        <v>4.5</v>
      </c>
      <c r="D13" s="6">
        <v>10.1</v>
      </c>
      <c r="E13" s="6">
        <v>13.6</v>
      </c>
      <c r="F13" s="6">
        <v>20.8</v>
      </c>
      <c r="G13" s="6">
        <v>26</v>
      </c>
      <c r="H13" s="6">
        <v>26.6</v>
      </c>
      <c r="I13" s="6">
        <v>27.4</v>
      </c>
      <c r="J13" s="6">
        <v>20.5</v>
      </c>
      <c r="K13" s="6">
        <v>15.3</v>
      </c>
      <c r="L13" s="6">
        <v>13.3</v>
      </c>
      <c r="M13" s="6">
        <v>8.1999999999999993</v>
      </c>
      <c r="O13">
        <v>2003</v>
      </c>
      <c r="P13" s="17">
        <v>225.3</v>
      </c>
      <c r="Q13" s="17">
        <v>48.3</v>
      </c>
      <c r="R13" s="17">
        <v>0.2</v>
      </c>
      <c r="S13" s="17">
        <v>62.4</v>
      </c>
      <c r="T13" s="17">
        <v>11.3</v>
      </c>
      <c r="U13" s="17">
        <v>58.2</v>
      </c>
      <c r="V13" s="17">
        <v>0</v>
      </c>
      <c r="W13" s="17">
        <v>24.8</v>
      </c>
      <c r="X13" s="17">
        <v>139.69999999999999</v>
      </c>
      <c r="Y13" s="17">
        <v>111.8</v>
      </c>
      <c r="Z13" s="17">
        <v>119.5</v>
      </c>
      <c r="AA13" s="17">
        <v>96.8</v>
      </c>
    </row>
    <row r="14" spans="1:27" x14ac:dyDescent="0.25">
      <c r="A14">
        <v>2004</v>
      </c>
      <c r="B14" s="7">
        <v>5.9</v>
      </c>
      <c r="C14" s="7">
        <v>7.6</v>
      </c>
      <c r="D14" s="7">
        <v>9.8000000000000007</v>
      </c>
      <c r="E14" s="7">
        <v>14.8</v>
      </c>
      <c r="F14" s="7">
        <v>16.8</v>
      </c>
      <c r="G14" s="7">
        <v>22</v>
      </c>
      <c r="H14" s="7">
        <v>25.3</v>
      </c>
      <c r="I14" s="7">
        <v>24.1</v>
      </c>
      <c r="J14" s="7">
        <v>21.2</v>
      </c>
      <c r="K14" s="7">
        <v>18.100000000000001</v>
      </c>
      <c r="L14" s="7">
        <v>10.9</v>
      </c>
      <c r="M14" s="7">
        <v>9.5</v>
      </c>
      <c r="O14">
        <v>2004</v>
      </c>
      <c r="P14" s="16">
        <v>126.2</v>
      </c>
      <c r="Q14" s="16">
        <v>71.8</v>
      </c>
      <c r="R14" s="16">
        <v>209.4</v>
      </c>
      <c r="S14" s="16">
        <v>65.400000000000006</v>
      </c>
      <c r="T14" s="16">
        <v>80.900000000000006</v>
      </c>
      <c r="U14" s="16">
        <v>57.4</v>
      </c>
      <c r="V14" s="16">
        <v>34.700000000000003</v>
      </c>
      <c r="W14" s="16">
        <v>30.9</v>
      </c>
      <c r="X14" s="16">
        <v>42.9</v>
      </c>
      <c r="Y14" s="16">
        <v>121.9</v>
      </c>
      <c r="Z14" s="16">
        <v>233.2</v>
      </c>
      <c r="AA14" s="16">
        <v>206.1</v>
      </c>
    </row>
    <row r="15" spans="1:27" x14ac:dyDescent="0.25">
      <c r="A15">
        <v>2005</v>
      </c>
      <c r="B15" s="7">
        <v>4.9000000000000004</v>
      </c>
      <c r="C15" s="7">
        <v>4.4000000000000004</v>
      </c>
      <c r="D15" s="7">
        <v>9.4</v>
      </c>
      <c r="E15" s="7">
        <v>13.9</v>
      </c>
      <c r="F15" s="7">
        <v>19.899999999999999</v>
      </c>
      <c r="G15" s="7">
        <v>22.7</v>
      </c>
      <c r="H15" s="7">
        <v>25.2</v>
      </c>
      <c r="I15" s="7">
        <v>23.2</v>
      </c>
      <c r="J15" s="7">
        <v>21</v>
      </c>
      <c r="K15" s="7">
        <v>15.6</v>
      </c>
      <c r="L15" s="7">
        <v>10.7</v>
      </c>
      <c r="M15" s="7">
        <v>7.5</v>
      </c>
      <c r="O15">
        <v>2005</v>
      </c>
      <c r="P15" s="16">
        <v>55.4</v>
      </c>
      <c r="Q15" s="16">
        <v>229.4</v>
      </c>
      <c r="R15" s="16">
        <v>85</v>
      </c>
      <c r="S15" s="16">
        <v>81.099999999999994</v>
      </c>
      <c r="T15" s="16">
        <v>22.7</v>
      </c>
      <c r="U15" s="16">
        <v>30.9</v>
      </c>
      <c r="V15" s="16">
        <v>70.5</v>
      </c>
      <c r="W15" s="16">
        <v>128</v>
      </c>
      <c r="X15" s="16">
        <v>125.3</v>
      </c>
      <c r="Y15" s="16">
        <v>99.1</v>
      </c>
      <c r="Z15" s="16">
        <v>131</v>
      </c>
      <c r="AA15" s="16">
        <v>211.2</v>
      </c>
    </row>
    <row r="16" spans="1:27" x14ac:dyDescent="0.25">
      <c r="A16">
        <v>2006</v>
      </c>
      <c r="B16" s="7">
        <v>5.5</v>
      </c>
      <c r="C16" s="7">
        <v>7</v>
      </c>
      <c r="D16" s="7">
        <v>9.3000000000000007</v>
      </c>
      <c r="E16" s="7">
        <v>14.7</v>
      </c>
      <c r="F16" s="7">
        <v>18.7</v>
      </c>
      <c r="G16" s="7">
        <v>21.9</v>
      </c>
      <c r="H16" s="7">
        <v>26.4</v>
      </c>
      <c r="I16" s="7">
        <v>23.4</v>
      </c>
      <c r="J16" s="7">
        <v>21</v>
      </c>
      <c r="K16" s="7">
        <v>17.5</v>
      </c>
      <c r="L16" s="7">
        <v>9.8000000000000007</v>
      </c>
      <c r="M16" s="7">
        <v>7.8</v>
      </c>
      <c r="O16">
        <v>2006</v>
      </c>
      <c r="P16" s="16">
        <v>79.2</v>
      </c>
      <c r="Q16" s="16">
        <v>82.8</v>
      </c>
      <c r="R16" s="16">
        <v>135</v>
      </c>
      <c r="S16" s="16">
        <v>76</v>
      </c>
      <c r="T16" s="16">
        <v>125.2</v>
      </c>
      <c r="U16" s="16">
        <v>65.900000000000006</v>
      </c>
      <c r="V16" s="16">
        <v>5.6</v>
      </c>
      <c r="W16" s="16">
        <v>164.3</v>
      </c>
      <c r="X16" s="16">
        <v>173.2</v>
      </c>
      <c r="Y16" s="16">
        <v>21.1</v>
      </c>
      <c r="Z16" s="16">
        <v>44</v>
      </c>
      <c r="AA16" s="16">
        <v>46.5</v>
      </c>
    </row>
    <row r="17" spans="1:27" x14ac:dyDescent="0.25">
      <c r="A17">
        <v>2007</v>
      </c>
      <c r="B17" s="7">
        <v>8.3000000000000007</v>
      </c>
      <c r="C17" s="7">
        <v>10.199999999999999</v>
      </c>
      <c r="D17" s="7">
        <v>11.9</v>
      </c>
      <c r="E17" s="7">
        <v>16.5</v>
      </c>
      <c r="F17" s="7">
        <v>20.3</v>
      </c>
      <c r="G17" s="7">
        <v>24.6</v>
      </c>
      <c r="H17" s="7">
        <v>26.9</v>
      </c>
      <c r="I17" s="7">
        <v>25.8</v>
      </c>
      <c r="J17" s="7">
        <v>19.100000000000001</v>
      </c>
      <c r="K17" s="7">
        <v>15.2</v>
      </c>
      <c r="L17" s="7">
        <v>9.5</v>
      </c>
      <c r="M17" s="7">
        <v>6.2</v>
      </c>
      <c r="O17">
        <v>2007</v>
      </c>
      <c r="P17" s="16">
        <v>80.599999999999994</v>
      </c>
      <c r="Q17" s="16">
        <v>163.6</v>
      </c>
      <c r="R17" s="16">
        <v>147.6</v>
      </c>
      <c r="S17" s="16">
        <v>10.4</v>
      </c>
      <c r="T17" s="16">
        <v>56</v>
      </c>
      <c r="U17" s="16">
        <v>3</v>
      </c>
      <c r="V17" s="16">
        <v>1.7</v>
      </c>
      <c r="W17" s="16">
        <v>3.1</v>
      </c>
      <c r="X17" s="16">
        <v>39</v>
      </c>
      <c r="Y17" s="16">
        <v>127.2</v>
      </c>
      <c r="Z17" s="16">
        <v>160.80000000000001</v>
      </c>
      <c r="AA17" s="16">
        <v>95.7</v>
      </c>
    </row>
    <row r="18" spans="1:27" x14ac:dyDescent="0.25">
      <c r="A18">
        <v>2008</v>
      </c>
      <c r="B18" s="7">
        <v>8.1</v>
      </c>
      <c r="C18" s="7">
        <v>8.3000000000000007</v>
      </c>
      <c r="D18" s="7">
        <v>11.2</v>
      </c>
      <c r="E18" s="7">
        <v>14.8</v>
      </c>
      <c r="F18" s="7">
        <v>19.8</v>
      </c>
      <c r="G18" s="7">
        <v>23.6</v>
      </c>
      <c r="H18" s="7">
        <v>26.2</v>
      </c>
      <c r="I18" s="7">
        <v>26.3</v>
      </c>
      <c r="J18" s="7">
        <v>19.899999999999999</v>
      </c>
      <c r="K18" s="7">
        <v>16.7</v>
      </c>
      <c r="L18" s="7">
        <v>12.2</v>
      </c>
      <c r="M18" s="7">
        <v>9.1</v>
      </c>
      <c r="O18">
        <v>2008</v>
      </c>
      <c r="P18" s="16">
        <v>151.30000000000001</v>
      </c>
      <c r="Q18" s="16">
        <v>73.400000000000006</v>
      </c>
      <c r="R18" s="16">
        <v>226.2</v>
      </c>
      <c r="S18" s="16">
        <v>90.8</v>
      </c>
      <c r="T18" s="16">
        <v>8.3000000000000007</v>
      </c>
      <c r="U18" s="16">
        <v>47.4</v>
      </c>
      <c r="V18" s="16">
        <v>5.4</v>
      </c>
      <c r="W18" s="16">
        <v>0</v>
      </c>
      <c r="X18" s="16">
        <v>87.6</v>
      </c>
      <c r="Y18" s="16">
        <v>18.5</v>
      </c>
      <c r="Z18" s="16">
        <v>226.7</v>
      </c>
      <c r="AA18" s="16">
        <v>258.8</v>
      </c>
    </row>
    <row r="19" spans="1:27" x14ac:dyDescent="0.25">
      <c r="A19">
        <v>2009</v>
      </c>
      <c r="B19" s="7">
        <v>7.7</v>
      </c>
      <c r="C19" s="7">
        <v>6.7</v>
      </c>
      <c r="D19" s="7">
        <v>10.4</v>
      </c>
      <c r="E19" s="7">
        <v>15.2</v>
      </c>
      <c r="F19" s="7">
        <v>20.6</v>
      </c>
      <c r="G19" s="7">
        <v>22</v>
      </c>
      <c r="H19" s="7">
        <v>25.8</v>
      </c>
      <c r="I19" s="7">
        <v>26.1</v>
      </c>
      <c r="J19" s="7">
        <v>22.2</v>
      </c>
      <c r="K19" s="7">
        <v>15.1</v>
      </c>
      <c r="L19" s="7">
        <v>11.6</v>
      </c>
      <c r="M19" s="7">
        <v>9.1999999999999993</v>
      </c>
      <c r="O19">
        <v>2009</v>
      </c>
      <c r="P19" s="16">
        <v>220.7</v>
      </c>
      <c r="Q19" s="16">
        <v>60.7</v>
      </c>
      <c r="R19" s="16">
        <v>115.6</v>
      </c>
      <c r="S19" s="16">
        <v>52.3</v>
      </c>
      <c r="T19" s="16">
        <v>42</v>
      </c>
      <c r="U19" s="16">
        <v>157.1</v>
      </c>
      <c r="V19" s="16">
        <v>46.2</v>
      </c>
      <c r="W19" s="16">
        <v>52.8</v>
      </c>
      <c r="X19" s="16">
        <v>45.7</v>
      </c>
      <c r="Y19" s="16">
        <v>157.19999999999999</v>
      </c>
      <c r="Z19" s="16">
        <v>115.6</v>
      </c>
      <c r="AA19" s="16">
        <v>321</v>
      </c>
    </row>
    <row r="20" spans="1:27" x14ac:dyDescent="0.25">
      <c r="A20">
        <v>2010</v>
      </c>
      <c r="B20" s="7">
        <v>6.4</v>
      </c>
      <c r="C20" s="7">
        <v>7.9</v>
      </c>
      <c r="D20" s="7">
        <v>10.1</v>
      </c>
      <c r="E20" s="7">
        <v>14.9</v>
      </c>
      <c r="F20" s="7">
        <v>18.2</v>
      </c>
      <c r="G20" s="7">
        <v>22.5</v>
      </c>
      <c r="H20" s="7">
        <v>26.4</v>
      </c>
      <c r="I20" s="7">
        <v>25.4</v>
      </c>
      <c r="J20" s="7">
        <v>20.3</v>
      </c>
      <c r="K20" s="7">
        <v>14.8</v>
      </c>
      <c r="L20" s="7">
        <v>13.3</v>
      </c>
      <c r="M20" s="7">
        <v>7.6</v>
      </c>
      <c r="O20">
        <v>2010</v>
      </c>
      <c r="P20" s="16">
        <v>196.2</v>
      </c>
      <c r="Q20" s="16">
        <v>287.89999999999998</v>
      </c>
      <c r="R20" s="16">
        <v>139.1</v>
      </c>
      <c r="S20" s="16">
        <v>182.6</v>
      </c>
      <c r="T20" s="16">
        <v>80.2</v>
      </c>
      <c r="U20" s="16">
        <v>95.7</v>
      </c>
      <c r="V20" s="16">
        <v>1.9</v>
      </c>
      <c r="W20" s="16">
        <v>33.799999999999997</v>
      </c>
      <c r="X20" s="16">
        <v>123.7</v>
      </c>
      <c r="Y20" s="16">
        <v>158.9</v>
      </c>
      <c r="Z20" s="16">
        <v>240.9</v>
      </c>
      <c r="AA20" s="16">
        <v>227.1</v>
      </c>
    </row>
    <row r="21" spans="1:27" x14ac:dyDescent="0.25">
      <c r="A21">
        <v>2011</v>
      </c>
      <c r="B21" s="7">
        <v>6.6</v>
      </c>
      <c r="C21" s="7">
        <v>7.6</v>
      </c>
      <c r="D21" s="7">
        <v>10.6</v>
      </c>
      <c r="E21" s="7">
        <v>15.3</v>
      </c>
      <c r="F21" s="7">
        <v>19.399999999999999</v>
      </c>
      <c r="G21" s="7">
        <v>24.3</v>
      </c>
      <c r="H21" s="7">
        <v>25</v>
      </c>
      <c r="I21" s="7">
        <v>26.3</v>
      </c>
      <c r="J21" s="7">
        <v>24.4</v>
      </c>
      <c r="K21" s="7">
        <v>16.100000000000001</v>
      </c>
      <c r="L21" s="7">
        <v>10.7</v>
      </c>
      <c r="M21" s="7">
        <v>9</v>
      </c>
      <c r="O21">
        <v>2011</v>
      </c>
      <c r="P21" s="16">
        <v>78.400000000000006</v>
      </c>
      <c r="Q21" s="16">
        <v>45.4</v>
      </c>
      <c r="R21" s="16">
        <v>97.9</v>
      </c>
      <c r="S21" s="16">
        <v>20.7</v>
      </c>
      <c r="T21" s="16">
        <v>118.6</v>
      </c>
      <c r="U21" s="16">
        <v>38.9</v>
      </c>
      <c r="V21" s="16">
        <v>73.099999999999994</v>
      </c>
      <c r="W21" s="16">
        <v>0.5</v>
      </c>
      <c r="X21" s="16">
        <v>10.8</v>
      </c>
      <c r="Y21" s="16">
        <v>39.799999999999997</v>
      </c>
      <c r="Z21" s="16">
        <v>148</v>
      </c>
      <c r="AA21" s="16">
        <v>100.8</v>
      </c>
    </row>
    <row r="22" spans="1:27" x14ac:dyDescent="0.25">
      <c r="A22">
        <v>2012</v>
      </c>
      <c r="B22" s="7">
        <v>5.8</v>
      </c>
      <c r="C22" s="7">
        <v>3</v>
      </c>
      <c r="D22" s="7">
        <v>12.1</v>
      </c>
      <c r="E22" s="7">
        <v>13.9</v>
      </c>
      <c r="F22" s="7">
        <v>18.3</v>
      </c>
      <c r="G22" s="7">
        <v>24.8</v>
      </c>
      <c r="H22" s="7">
        <v>27.6</v>
      </c>
      <c r="I22" s="7">
        <v>27</v>
      </c>
      <c r="J22" s="7">
        <v>22.3</v>
      </c>
      <c r="K22" s="7">
        <v>17.5</v>
      </c>
      <c r="L22" s="7">
        <v>14.2</v>
      </c>
      <c r="M22" s="7">
        <v>7.3</v>
      </c>
      <c r="O22">
        <v>2012</v>
      </c>
      <c r="P22" s="16">
        <v>53.9</v>
      </c>
      <c r="Q22" s="16">
        <v>146.69999999999999</v>
      </c>
      <c r="R22" s="16">
        <v>0.4</v>
      </c>
      <c r="S22" s="16">
        <v>203.3</v>
      </c>
      <c r="T22" s="16">
        <v>62.4</v>
      </c>
      <c r="U22" s="16">
        <v>2.9</v>
      </c>
      <c r="V22" s="16">
        <v>3.6</v>
      </c>
      <c r="W22" s="16">
        <v>0</v>
      </c>
      <c r="X22" s="16">
        <v>69.599999999999994</v>
      </c>
      <c r="Y22" s="16">
        <v>146.19999999999999</v>
      </c>
      <c r="Z22" s="16">
        <v>63.9</v>
      </c>
      <c r="AA22" s="16">
        <v>264.8</v>
      </c>
    </row>
    <row r="23" spans="1:27" x14ac:dyDescent="0.25">
      <c r="A23">
        <v>2013</v>
      </c>
      <c r="B23" s="7">
        <v>7.6</v>
      </c>
      <c r="C23" s="7">
        <v>8.1999999999999993</v>
      </c>
      <c r="D23" s="7">
        <v>10.6</v>
      </c>
      <c r="E23" s="7">
        <v>16</v>
      </c>
      <c r="F23" s="7">
        <v>18.399999999999999</v>
      </c>
      <c r="G23" s="7">
        <v>22.8</v>
      </c>
      <c r="H23" s="7">
        <v>26.8</v>
      </c>
      <c r="I23" s="7">
        <v>26.4</v>
      </c>
      <c r="J23" s="7">
        <v>20.8</v>
      </c>
      <c r="K23" s="7">
        <v>16.7</v>
      </c>
      <c r="L23" s="7">
        <v>13.1</v>
      </c>
      <c r="M23" s="7">
        <v>7.8</v>
      </c>
      <c r="O23">
        <v>2013</v>
      </c>
      <c r="P23" s="16">
        <v>285.89999999999998</v>
      </c>
      <c r="Q23" s="16">
        <v>201.8</v>
      </c>
      <c r="R23" s="16">
        <v>201.8</v>
      </c>
      <c r="S23" s="16">
        <v>109</v>
      </c>
      <c r="T23" s="16">
        <v>101.1</v>
      </c>
      <c r="U23" s="16">
        <v>27.2</v>
      </c>
      <c r="V23" s="16">
        <v>1.2</v>
      </c>
      <c r="W23" s="16">
        <v>33.200000000000003</v>
      </c>
      <c r="X23" s="16">
        <v>78.400000000000006</v>
      </c>
      <c r="Y23" s="16">
        <v>161.19999999999999</v>
      </c>
      <c r="Z23" s="16">
        <v>190.4</v>
      </c>
      <c r="AA23" s="16">
        <v>44.1</v>
      </c>
    </row>
    <row r="24" spans="1:27" x14ac:dyDescent="0.25">
      <c r="A24">
        <v>2014</v>
      </c>
      <c r="B24" s="7">
        <v>9.6999999999999993</v>
      </c>
      <c r="C24" s="7">
        <v>11.5</v>
      </c>
      <c r="D24" s="7">
        <v>12.3</v>
      </c>
      <c r="E24" s="7">
        <v>14.8</v>
      </c>
      <c r="F24" s="7">
        <v>17.600000000000001</v>
      </c>
      <c r="G24" s="7">
        <v>22.8</v>
      </c>
      <c r="H24" s="7">
        <v>23.9</v>
      </c>
      <c r="I24" s="7">
        <v>24.7</v>
      </c>
      <c r="J24" s="7">
        <v>20</v>
      </c>
      <c r="K24" s="7">
        <v>17</v>
      </c>
      <c r="L24" s="7">
        <v>13.7</v>
      </c>
      <c r="M24" s="7">
        <v>9.1</v>
      </c>
      <c r="O24">
        <v>2014</v>
      </c>
      <c r="P24" s="16">
        <v>204.1</v>
      </c>
      <c r="Q24" s="16">
        <v>136.5</v>
      </c>
      <c r="R24" s="16">
        <v>88.5</v>
      </c>
      <c r="S24" s="16">
        <v>115.7</v>
      </c>
      <c r="T24" s="16">
        <v>79.099999999999994</v>
      </c>
      <c r="U24" s="16">
        <v>95.3</v>
      </c>
      <c r="V24" s="16">
        <v>92.6</v>
      </c>
      <c r="W24" s="16">
        <v>36.6</v>
      </c>
      <c r="X24" s="16">
        <v>210.6</v>
      </c>
      <c r="Y24" s="16">
        <v>7.8</v>
      </c>
      <c r="Z24" s="16">
        <v>168.4</v>
      </c>
      <c r="AA24" s="16">
        <v>216.2</v>
      </c>
    </row>
    <row r="25" spans="1:27" x14ac:dyDescent="0.25">
      <c r="A25">
        <v>2015</v>
      </c>
      <c r="B25" s="7">
        <v>7.4</v>
      </c>
      <c r="C25" s="7">
        <v>8</v>
      </c>
      <c r="D25" s="7">
        <v>10.8</v>
      </c>
      <c r="E25" s="7">
        <v>13.8</v>
      </c>
      <c r="F25" s="7">
        <v>19.600000000000001</v>
      </c>
      <c r="G25" s="7">
        <v>23.9</v>
      </c>
      <c r="H25" s="7">
        <v>28.3</v>
      </c>
      <c r="I25" s="7">
        <v>26.5</v>
      </c>
      <c r="J25" s="7">
        <v>22.4</v>
      </c>
      <c r="K25" s="7">
        <v>16.600000000000001</v>
      </c>
      <c r="L25" s="7">
        <v>11.8</v>
      </c>
      <c r="M25" s="7">
        <v>7.3</v>
      </c>
      <c r="O25">
        <v>2015</v>
      </c>
      <c r="P25" s="16">
        <v>215.5</v>
      </c>
      <c r="Q25" s="16">
        <v>136.1</v>
      </c>
      <c r="R25" s="16">
        <v>122.1</v>
      </c>
      <c r="S25" s="16">
        <v>56.2</v>
      </c>
      <c r="T25" s="16">
        <v>14.7</v>
      </c>
      <c r="U25" s="16">
        <v>38.299999999999997</v>
      </c>
      <c r="V25" s="16">
        <v>0</v>
      </c>
      <c r="W25" s="16">
        <v>89.1</v>
      </c>
      <c r="X25" s="16">
        <v>96.9</v>
      </c>
      <c r="Y25" s="16">
        <v>325.10000000000002</v>
      </c>
      <c r="Z25" s="16">
        <v>46.2</v>
      </c>
      <c r="AA25" s="16">
        <v>0</v>
      </c>
    </row>
    <row r="26" spans="1:27" x14ac:dyDescent="0.25">
      <c r="A26">
        <v>2016</v>
      </c>
      <c r="B26" s="7">
        <v>7.6</v>
      </c>
      <c r="C26" s="7">
        <v>11.4</v>
      </c>
      <c r="D26" s="7">
        <v>11.6</v>
      </c>
      <c r="E26" s="7">
        <v>16.100000000000001</v>
      </c>
      <c r="F26" s="7">
        <v>18</v>
      </c>
      <c r="G26" s="7">
        <v>23.1</v>
      </c>
      <c r="H26" s="7">
        <v>26.6</v>
      </c>
      <c r="I26" s="7">
        <v>25</v>
      </c>
      <c r="J26" s="7">
        <v>21.2</v>
      </c>
      <c r="K26" s="7">
        <v>15.6</v>
      </c>
      <c r="L26" s="7">
        <v>11.8</v>
      </c>
      <c r="M26" s="7">
        <v>5.8</v>
      </c>
      <c r="O26">
        <v>2016</v>
      </c>
      <c r="P26" s="16">
        <v>104.8</v>
      </c>
      <c r="Q26" s="16">
        <v>124.5</v>
      </c>
      <c r="R26" s="16">
        <v>161</v>
      </c>
      <c r="S26" s="16">
        <v>100.8</v>
      </c>
      <c r="T26" s="16">
        <v>120.6</v>
      </c>
      <c r="U26" s="16">
        <v>242.7</v>
      </c>
      <c r="V26" s="16">
        <v>12.8</v>
      </c>
      <c r="W26" s="16">
        <v>29.7</v>
      </c>
      <c r="X26" s="16">
        <v>99.5</v>
      </c>
      <c r="Y26" s="16">
        <v>164.8</v>
      </c>
      <c r="Z26" s="16">
        <v>130</v>
      </c>
      <c r="AA26" s="16">
        <v>0</v>
      </c>
    </row>
    <row r="27" spans="1:27" x14ac:dyDescent="0.25">
      <c r="A27">
        <v>2017</v>
      </c>
      <c r="B27" s="2">
        <v>3.3</v>
      </c>
      <c r="C27" s="2">
        <v>10</v>
      </c>
      <c r="D27" s="2">
        <v>13</v>
      </c>
      <c r="E27" s="2">
        <v>14.2</v>
      </c>
      <c r="F27" s="2">
        <v>19.7</v>
      </c>
      <c r="G27" s="2">
        <v>25.2</v>
      </c>
      <c r="H27" s="2">
        <v>26.8</v>
      </c>
      <c r="I27" s="2">
        <v>27.4</v>
      </c>
      <c r="J27" s="2">
        <v>20.3</v>
      </c>
      <c r="K27" s="2">
        <v>16</v>
      </c>
      <c r="L27" s="2">
        <v>11.2</v>
      </c>
      <c r="M27" s="2">
        <v>8</v>
      </c>
      <c r="O27">
        <v>2017</v>
      </c>
      <c r="P27" s="2">
        <v>62.2</v>
      </c>
      <c r="Q27" s="2">
        <v>63.6</v>
      </c>
      <c r="R27" s="2">
        <v>56.1</v>
      </c>
      <c r="S27" s="2">
        <v>149.9</v>
      </c>
      <c r="T27" s="2">
        <v>27.9</v>
      </c>
      <c r="U27" s="2">
        <v>6.8</v>
      </c>
      <c r="V27" s="2">
        <v>21.2</v>
      </c>
      <c r="W27" s="2">
        <v>0.2</v>
      </c>
      <c r="X27" s="2">
        <v>77</v>
      </c>
      <c r="Y27" s="2">
        <v>21.8</v>
      </c>
      <c r="Z27" s="2">
        <v>106</v>
      </c>
      <c r="AA27" s="2">
        <v>99.7</v>
      </c>
    </row>
    <row r="28" spans="1:27" x14ac:dyDescent="0.25">
      <c r="A28">
        <v>2018</v>
      </c>
      <c r="B28" s="2">
        <v>8.9</v>
      </c>
      <c r="C28" s="2">
        <v>7.2</v>
      </c>
      <c r="D28" s="2">
        <v>10.7</v>
      </c>
      <c r="E28" s="2">
        <v>17.2</v>
      </c>
      <c r="F28" s="2">
        <v>21.4</v>
      </c>
      <c r="G28" s="2">
        <v>24.2</v>
      </c>
      <c r="H28" s="2">
        <v>26.2</v>
      </c>
      <c r="I28" s="2">
        <v>27.1</v>
      </c>
      <c r="J28" s="2">
        <v>22.4</v>
      </c>
      <c r="K28" s="2">
        <v>18.2</v>
      </c>
      <c r="L28" s="2">
        <v>13.2</v>
      </c>
      <c r="M28" s="2">
        <v>7.3</v>
      </c>
      <c r="O28">
        <v>2018</v>
      </c>
      <c r="P28" s="2">
        <v>60</v>
      </c>
      <c r="Q28" s="2">
        <v>122</v>
      </c>
      <c r="R28" s="2">
        <v>195.7</v>
      </c>
      <c r="S28" s="2">
        <v>23.7</v>
      </c>
      <c r="T28" s="2">
        <v>116.5</v>
      </c>
      <c r="U28" s="2">
        <v>25.2</v>
      </c>
      <c r="V28" s="2">
        <v>49.2</v>
      </c>
      <c r="W28" s="2">
        <v>18</v>
      </c>
      <c r="X28" s="2">
        <v>30.4</v>
      </c>
      <c r="Y28" s="2">
        <v>108.1</v>
      </c>
      <c r="Z28" s="2">
        <v>227.2</v>
      </c>
      <c r="AA28" s="2">
        <v>75.7</v>
      </c>
    </row>
    <row r="29" spans="1:27" x14ac:dyDescent="0.25">
      <c r="A29">
        <v>2019</v>
      </c>
      <c r="B29" s="2">
        <v>5.5</v>
      </c>
      <c r="C29" s="2">
        <v>8.9</v>
      </c>
      <c r="D29" s="2">
        <v>12.4</v>
      </c>
      <c r="E29" s="2">
        <v>15</v>
      </c>
      <c r="F29" s="2">
        <v>16.2</v>
      </c>
      <c r="G29" s="2">
        <v>25.6</v>
      </c>
      <c r="H29" s="2">
        <v>26.2</v>
      </c>
      <c r="I29" s="2">
        <v>27.2</v>
      </c>
      <c r="J29" s="2">
        <v>22</v>
      </c>
      <c r="K29" s="2">
        <v>16.899999999999999</v>
      </c>
      <c r="L29" s="2">
        <v>15.3</v>
      </c>
      <c r="M29" s="2">
        <v>10.3</v>
      </c>
      <c r="O29">
        <v>2019</v>
      </c>
      <c r="P29" s="2">
        <v>181.8</v>
      </c>
      <c r="Q29" s="2">
        <v>79.599999999999994</v>
      </c>
      <c r="R29" s="2">
        <v>34.9</v>
      </c>
      <c r="S29" s="2">
        <v>129.9</v>
      </c>
      <c r="T29" s="2">
        <v>121.8</v>
      </c>
      <c r="U29" s="2">
        <v>5.9</v>
      </c>
      <c r="V29" s="2">
        <v>37.200000000000003</v>
      </c>
      <c r="W29" s="2">
        <v>4.4000000000000004</v>
      </c>
      <c r="X29" s="2">
        <v>102.2</v>
      </c>
      <c r="Y29" s="2">
        <v>35.799999999999997</v>
      </c>
      <c r="Z29" s="2">
        <v>329.9</v>
      </c>
      <c r="AA29" s="2">
        <v>148.80000000000001</v>
      </c>
    </row>
    <row r="30" spans="1:27" x14ac:dyDescent="0.25">
      <c r="A30">
        <v>2020</v>
      </c>
      <c r="B30" s="2">
        <v>6.7</v>
      </c>
      <c r="C30" s="2">
        <v>9.9</v>
      </c>
      <c r="D30" s="2">
        <v>11.5</v>
      </c>
      <c r="E30" s="2">
        <v>15</v>
      </c>
      <c r="F30" s="2">
        <v>19.399999999999999</v>
      </c>
      <c r="G30" s="2">
        <v>22.3</v>
      </c>
      <c r="H30" s="2">
        <v>26.1</v>
      </c>
      <c r="I30" s="2">
        <v>26.8</v>
      </c>
      <c r="J30" s="2">
        <v>23</v>
      </c>
      <c r="K30" s="2">
        <v>16</v>
      </c>
      <c r="L30" s="2">
        <v>11.7</v>
      </c>
      <c r="M30" s="2">
        <v>10.3</v>
      </c>
      <c r="O30">
        <v>2020</v>
      </c>
      <c r="P30" s="2">
        <v>38.1</v>
      </c>
      <c r="Q30" s="2">
        <v>28.3</v>
      </c>
      <c r="R30" s="2">
        <v>43.2</v>
      </c>
      <c r="S30" s="2">
        <v>24.3</v>
      </c>
      <c r="T30" s="2">
        <v>20.9</v>
      </c>
      <c r="U30" s="2">
        <v>46.9</v>
      </c>
      <c r="V30" s="2">
        <v>6.1</v>
      </c>
      <c r="W30" s="2">
        <v>75.7</v>
      </c>
      <c r="X30" s="2">
        <v>128.6</v>
      </c>
      <c r="Y30" s="2">
        <v>69.099999999999994</v>
      </c>
      <c r="Z30" s="2">
        <v>84.3</v>
      </c>
      <c r="AA30" s="2">
        <v>384.8</v>
      </c>
    </row>
    <row r="31" spans="1:27" x14ac:dyDescent="0.25">
      <c r="A31">
        <v>2021</v>
      </c>
      <c r="B31" s="2">
        <v>6.9</v>
      </c>
      <c r="C31" s="2">
        <v>9.3000000000000007</v>
      </c>
      <c r="D31" s="2">
        <v>10.1</v>
      </c>
      <c r="E31" s="2">
        <v>12.5</v>
      </c>
      <c r="F31" s="2">
        <v>18.8</v>
      </c>
      <c r="G31" s="2">
        <v>24.7</v>
      </c>
      <c r="H31" s="2">
        <v>27.6</v>
      </c>
      <c r="I31" s="2">
        <v>26.5</v>
      </c>
      <c r="J31" s="2">
        <v>22.2</v>
      </c>
      <c r="K31" s="2">
        <v>15.2</v>
      </c>
      <c r="L31" s="2">
        <v>13.4</v>
      </c>
      <c r="M31" s="2">
        <v>8.9</v>
      </c>
      <c r="O31">
        <v>2021</v>
      </c>
      <c r="P31" s="2">
        <v>187.5</v>
      </c>
      <c r="Q31" s="2">
        <v>90.1</v>
      </c>
      <c r="R31" s="2">
        <v>27</v>
      </c>
      <c r="S31" s="2">
        <v>49</v>
      </c>
      <c r="T31" s="2">
        <v>32.6</v>
      </c>
      <c r="U31" s="2">
        <v>7.1</v>
      </c>
      <c r="V31" s="2">
        <v>10</v>
      </c>
      <c r="W31" s="2">
        <v>23.1</v>
      </c>
      <c r="X31" s="2">
        <v>27.5</v>
      </c>
      <c r="Y31" s="2">
        <v>150.4</v>
      </c>
      <c r="Z31" s="2">
        <v>354.9</v>
      </c>
      <c r="AA31" s="2">
        <v>169.2</v>
      </c>
    </row>
    <row r="32" spans="1:27" x14ac:dyDescent="0.25">
      <c r="A32">
        <v>2022</v>
      </c>
      <c r="B32" s="2">
        <v>7</v>
      </c>
      <c r="C32" s="2">
        <v>9</v>
      </c>
      <c r="D32" s="2">
        <v>9.5</v>
      </c>
      <c r="E32" s="2">
        <v>14.1</v>
      </c>
      <c r="F32" s="2">
        <v>20.7</v>
      </c>
      <c r="G32" s="2">
        <v>26.4</v>
      </c>
      <c r="H32" s="2">
        <v>27.8</v>
      </c>
      <c r="I32" s="2">
        <v>26.9</v>
      </c>
      <c r="J32" s="2">
        <v>21.3</v>
      </c>
      <c r="K32" s="2">
        <v>17.600000000000001</v>
      </c>
      <c r="L32" s="2">
        <v>13.2</v>
      </c>
      <c r="M32" s="2">
        <v>11</v>
      </c>
      <c r="O32">
        <v>2022</v>
      </c>
      <c r="P32" s="2">
        <v>1.9</v>
      </c>
      <c r="Q32" s="2">
        <v>53.4</v>
      </c>
      <c r="R32" s="2">
        <v>23.7</v>
      </c>
      <c r="S32" s="2">
        <v>90.3</v>
      </c>
      <c r="T32" s="2">
        <v>23.5</v>
      </c>
      <c r="U32" s="2">
        <v>55.8</v>
      </c>
      <c r="V32" s="2">
        <v>22.4</v>
      </c>
      <c r="W32" s="2">
        <v>58.3</v>
      </c>
      <c r="X32" s="2">
        <v>259.89999999999998</v>
      </c>
      <c r="Y32" s="2">
        <v>3.3</v>
      </c>
      <c r="Z32" s="2">
        <v>192.7</v>
      </c>
      <c r="AA32" s="2">
        <v>149.69999999999999</v>
      </c>
    </row>
    <row r="33" spans="1:27" x14ac:dyDescent="0.25">
      <c r="A33">
        <v>2023</v>
      </c>
      <c r="B33" s="2">
        <v>8.9</v>
      </c>
      <c r="C33" s="2">
        <v>7.8</v>
      </c>
      <c r="D33" s="2">
        <v>11.6</v>
      </c>
      <c r="E33" s="2">
        <v>13.7</v>
      </c>
      <c r="F33" s="2">
        <v>19.600000000000001</v>
      </c>
      <c r="G33" s="2">
        <v>23.6</v>
      </c>
      <c r="H33" s="2">
        <v>27.4</v>
      </c>
      <c r="I33" s="2">
        <v>26.2</v>
      </c>
      <c r="J33" s="2">
        <v>23.8</v>
      </c>
      <c r="K33" s="2">
        <v>19.600000000000001</v>
      </c>
      <c r="L33" s="2">
        <v>12.5</v>
      </c>
      <c r="M33" s="2">
        <v>9.9</v>
      </c>
      <c r="O33">
        <v>2023</v>
      </c>
      <c r="P33" s="2">
        <v>175.9</v>
      </c>
      <c r="Q33" s="2">
        <v>32.799999999999997</v>
      </c>
      <c r="R33" s="2">
        <v>117.5</v>
      </c>
      <c r="S33" s="2">
        <v>58</v>
      </c>
      <c r="T33" s="2">
        <v>154.6</v>
      </c>
      <c r="U33" s="2">
        <v>60.3</v>
      </c>
      <c r="V33" s="2">
        <v>101</v>
      </c>
      <c r="W33" s="2">
        <v>66</v>
      </c>
      <c r="X33" s="2">
        <v>35.799999999999997</v>
      </c>
      <c r="Y33" s="2">
        <v>64.900000000000006</v>
      </c>
      <c r="Z33" s="2">
        <v>181.7</v>
      </c>
      <c r="AA33" s="2">
        <v>46.5</v>
      </c>
    </row>
    <row r="34" spans="1:27" x14ac:dyDescent="0.25">
      <c r="A34">
        <v>2024</v>
      </c>
      <c r="B34">
        <v>8.4</v>
      </c>
      <c r="C34">
        <v>11.5</v>
      </c>
      <c r="D34">
        <v>13.2</v>
      </c>
      <c r="E34">
        <v>16.3</v>
      </c>
      <c r="F34">
        <v>20.100000000000001</v>
      </c>
      <c r="G34">
        <v>25.4</v>
      </c>
      <c r="H34">
        <v>28.6</v>
      </c>
      <c r="I34">
        <v>28.2</v>
      </c>
      <c r="J34">
        <v>21.8</v>
      </c>
      <c r="K34">
        <v>18.2</v>
      </c>
      <c r="L34">
        <v>11.1</v>
      </c>
      <c r="M34">
        <v>9</v>
      </c>
      <c r="O34">
        <v>2024</v>
      </c>
      <c r="P34">
        <v>57.4</v>
      </c>
      <c r="Q34">
        <v>137.80000000000001</v>
      </c>
      <c r="R34">
        <v>150.6</v>
      </c>
      <c r="S34">
        <v>17.5</v>
      </c>
      <c r="T34">
        <v>25.5</v>
      </c>
      <c r="U34">
        <v>17.7</v>
      </c>
      <c r="V34">
        <v>35.5</v>
      </c>
      <c r="W34">
        <v>37.200000000000003</v>
      </c>
      <c r="X34">
        <v>291.60000000000002</v>
      </c>
      <c r="Y34">
        <v>58.4</v>
      </c>
      <c r="Z34">
        <v>60</v>
      </c>
      <c r="AA34">
        <v>109.8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2502-3CBA-4A91-B2E3-A49E66FCAA74}">
  <dimension ref="A1:AA40"/>
  <sheetViews>
    <sheetView workbookViewId="0">
      <selection activeCell="E16" sqref="E16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6.3275862068965516</v>
      </c>
      <c r="C2" s="4">
        <f t="shared" ref="C2:L2" si="0">AVERAGE(C5:C46)</f>
        <v>6.923333333333332</v>
      </c>
      <c r="D2" s="4">
        <f t="shared" si="0"/>
        <v>9.5233333333333334</v>
      </c>
      <c r="E2" s="4">
        <f t="shared" si="0"/>
        <v>13.309999999999999</v>
      </c>
      <c r="F2" s="4">
        <f t="shared" si="0"/>
        <v>18.173333333333336</v>
      </c>
      <c r="G2" s="4">
        <f t="shared" si="0"/>
        <v>22.986666666666665</v>
      </c>
      <c r="H2" s="4">
        <f t="shared" si="0"/>
        <v>25.349999999999998</v>
      </c>
      <c r="I2" s="4">
        <f t="shared" si="0"/>
        <v>24.86</v>
      </c>
      <c r="J2" s="4">
        <f t="shared" si="0"/>
        <v>20.02</v>
      </c>
      <c r="K2" s="4">
        <f t="shared" si="0"/>
        <v>15.713333333333335</v>
      </c>
      <c r="L2" s="4">
        <f t="shared" si="0"/>
        <v>11.45862068965517</v>
      </c>
      <c r="M2" s="4">
        <f>AVERAGE(M5:M46)</f>
        <v>7.7620689655172415</v>
      </c>
      <c r="O2" s="30"/>
      <c r="P2" s="4">
        <f>AVERAGE(P5:P46)</f>
        <v>63.713793103448268</v>
      </c>
      <c r="Q2" s="4">
        <f t="shared" ref="Q2:Z2" si="1">AVERAGE(Q5:Q46)</f>
        <v>65.086666666666673</v>
      </c>
      <c r="R2" s="4">
        <f t="shared" si="1"/>
        <v>56.553333333333327</v>
      </c>
      <c r="S2" s="4">
        <f t="shared" si="1"/>
        <v>53.273333333333333</v>
      </c>
      <c r="T2" s="4">
        <f t="shared" si="1"/>
        <v>64.629999999999981</v>
      </c>
      <c r="U2" s="4">
        <f t="shared" si="1"/>
        <v>46.13333333333334</v>
      </c>
      <c r="V2" s="4">
        <f t="shared" si="1"/>
        <v>41.86666666666666</v>
      </c>
      <c r="W2" s="4">
        <f t="shared" si="1"/>
        <v>60.143333333333338</v>
      </c>
      <c r="X2" s="4">
        <f t="shared" si="1"/>
        <v>106.59666666666666</v>
      </c>
      <c r="Y2" s="4">
        <f t="shared" si="1"/>
        <v>80.16</v>
      </c>
      <c r="Z2" s="4">
        <f t="shared" si="1"/>
        <v>119.1103448275862</v>
      </c>
      <c r="AA2" s="4">
        <f>AVERAGE(AA5:AA46)</f>
        <v>91.048275862068962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>
        <v>5.2</v>
      </c>
      <c r="C5">
        <v>7.9</v>
      </c>
      <c r="D5">
        <v>7.2</v>
      </c>
      <c r="E5">
        <v>11.3</v>
      </c>
      <c r="F5">
        <v>16.100000000000001</v>
      </c>
      <c r="G5">
        <v>19.600000000000001</v>
      </c>
      <c r="H5">
        <v>25.3</v>
      </c>
      <c r="I5">
        <v>22.8</v>
      </c>
      <c r="J5">
        <v>17.899999999999999</v>
      </c>
      <c r="K5">
        <v>15.6</v>
      </c>
      <c r="L5">
        <v>9.8000000000000007</v>
      </c>
      <c r="M5">
        <v>7.5</v>
      </c>
      <c r="O5">
        <v>1995</v>
      </c>
      <c r="P5" s="2">
        <v>91.2</v>
      </c>
      <c r="Q5" s="2">
        <v>116.9</v>
      </c>
      <c r="R5" s="2">
        <v>174.8</v>
      </c>
      <c r="S5" s="2">
        <v>16.3</v>
      </c>
      <c r="T5" s="2">
        <v>89.7</v>
      </c>
      <c r="U5" s="2">
        <v>114.5</v>
      </c>
      <c r="V5" s="2">
        <v>31.4</v>
      </c>
      <c r="W5" s="2">
        <v>22.6</v>
      </c>
      <c r="X5" s="2">
        <v>79.8</v>
      </c>
      <c r="Y5" s="2">
        <v>17</v>
      </c>
      <c r="Z5" s="2">
        <v>52.8</v>
      </c>
      <c r="AA5" s="2">
        <v>125.5</v>
      </c>
    </row>
    <row r="6" spans="1:27" x14ac:dyDescent="0.25">
      <c r="A6">
        <v>1996</v>
      </c>
      <c r="B6">
        <v>6.9</v>
      </c>
      <c r="C6">
        <v>4.4000000000000004</v>
      </c>
      <c r="D6">
        <v>6.7</v>
      </c>
      <c r="E6">
        <v>13</v>
      </c>
      <c r="F6">
        <v>17.7</v>
      </c>
      <c r="G6">
        <v>22.3</v>
      </c>
      <c r="H6">
        <v>22.8</v>
      </c>
      <c r="I6">
        <v>23.1</v>
      </c>
      <c r="J6">
        <v>16.600000000000001</v>
      </c>
      <c r="K6">
        <v>14.8</v>
      </c>
      <c r="L6">
        <v>11.9</v>
      </c>
      <c r="M6">
        <v>6.7</v>
      </c>
      <c r="O6">
        <v>1996</v>
      </c>
      <c r="P6" s="2">
        <v>126.1</v>
      </c>
      <c r="Q6" s="2">
        <v>54.4</v>
      </c>
      <c r="R6" s="2">
        <v>9.1</v>
      </c>
      <c r="S6" s="2">
        <v>46.7</v>
      </c>
      <c r="T6" s="2">
        <v>74</v>
      </c>
      <c r="U6" s="2">
        <v>64.5</v>
      </c>
      <c r="V6" s="2">
        <v>25.2</v>
      </c>
      <c r="W6" s="2">
        <v>79.099999999999994</v>
      </c>
      <c r="X6" s="2">
        <v>136.69999999999999</v>
      </c>
      <c r="Y6" s="2">
        <v>102.6</v>
      </c>
      <c r="Z6" s="2">
        <v>164.3</v>
      </c>
      <c r="AA6" s="2">
        <v>111.1</v>
      </c>
    </row>
    <row r="7" spans="1:27" x14ac:dyDescent="0.25">
      <c r="A7">
        <v>1997</v>
      </c>
      <c r="B7">
        <v>7.2</v>
      </c>
      <c r="C7">
        <v>7.6</v>
      </c>
      <c r="D7">
        <v>10.3</v>
      </c>
      <c r="E7">
        <v>10</v>
      </c>
      <c r="F7">
        <v>17.7</v>
      </c>
      <c r="G7">
        <v>21.7</v>
      </c>
      <c r="H7">
        <v>23.8</v>
      </c>
      <c r="I7">
        <v>23.8</v>
      </c>
      <c r="J7">
        <v>20.5</v>
      </c>
      <c r="K7">
        <v>14.1</v>
      </c>
      <c r="L7">
        <v>10.7</v>
      </c>
      <c r="M7">
        <v>7.8</v>
      </c>
      <c r="O7">
        <v>1997</v>
      </c>
      <c r="P7" s="2">
        <v>116.6</v>
      </c>
      <c r="Q7" s="2">
        <v>27.2</v>
      </c>
      <c r="R7" s="2">
        <v>72.400000000000006</v>
      </c>
      <c r="S7" s="2">
        <v>71.900000000000006</v>
      </c>
      <c r="T7" s="2">
        <v>22.2</v>
      </c>
      <c r="U7" s="2">
        <v>49.8</v>
      </c>
      <c r="V7" s="2">
        <v>52.2</v>
      </c>
      <c r="W7" s="2">
        <v>54.4</v>
      </c>
      <c r="X7" s="2">
        <v>11.9</v>
      </c>
      <c r="Y7" s="2">
        <v>37.700000000000003</v>
      </c>
      <c r="Z7" s="2">
        <v>212.9</v>
      </c>
      <c r="AA7" s="2">
        <v>89.9</v>
      </c>
    </row>
    <row r="8" spans="1:27" x14ac:dyDescent="0.25">
      <c r="A8">
        <v>1998</v>
      </c>
      <c r="B8">
        <v>7.1</v>
      </c>
      <c r="C8">
        <v>7.9</v>
      </c>
      <c r="D8">
        <v>8.1999999999999993</v>
      </c>
      <c r="E8">
        <v>12.9</v>
      </c>
      <c r="F8">
        <v>18</v>
      </c>
      <c r="G8">
        <v>23.1</v>
      </c>
      <c r="H8">
        <v>25.5</v>
      </c>
      <c r="I8">
        <v>25.6</v>
      </c>
      <c r="J8">
        <v>18.899999999999999</v>
      </c>
      <c r="K8">
        <v>15.3</v>
      </c>
      <c r="L8">
        <v>9.1</v>
      </c>
      <c r="M8">
        <v>5.7</v>
      </c>
      <c r="O8">
        <v>1998</v>
      </c>
      <c r="P8" s="2">
        <v>29.7</v>
      </c>
      <c r="Q8" s="2">
        <v>3.4</v>
      </c>
      <c r="R8" s="2">
        <v>0.8</v>
      </c>
      <c r="S8" s="2">
        <v>67.400000000000006</v>
      </c>
      <c r="T8" s="2">
        <v>38.4</v>
      </c>
      <c r="U8" s="2">
        <v>39</v>
      </c>
      <c r="V8" s="2">
        <v>80.099999999999994</v>
      </c>
      <c r="W8" s="2">
        <v>47.3</v>
      </c>
      <c r="X8" s="2">
        <v>180.1</v>
      </c>
      <c r="Y8" s="2">
        <v>188.7</v>
      </c>
      <c r="Z8" s="2">
        <v>43.7</v>
      </c>
      <c r="AA8" s="2">
        <v>20.100000000000001</v>
      </c>
    </row>
    <row r="9" spans="1:27" x14ac:dyDescent="0.25">
      <c r="A9">
        <v>1999</v>
      </c>
      <c r="B9">
        <v>6.5</v>
      </c>
      <c r="C9">
        <v>5.6</v>
      </c>
      <c r="D9">
        <v>10.1</v>
      </c>
      <c r="E9">
        <v>13.5</v>
      </c>
      <c r="F9">
        <v>18.600000000000001</v>
      </c>
      <c r="G9">
        <v>22.2</v>
      </c>
      <c r="H9">
        <v>24.6</v>
      </c>
      <c r="I9">
        <v>24.6</v>
      </c>
      <c r="J9">
        <v>21.7</v>
      </c>
      <c r="K9">
        <v>15.9</v>
      </c>
      <c r="L9">
        <v>9.3000000000000007</v>
      </c>
      <c r="M9">
        <v>7.1</v>
      </c>
      <c r="O9">
        <v>1999</v>
      </c>
      <c r="P9" s="16">
        <v>54.5</v>
      </c>
      <c r="Q9" s="16">
        <v>10.199999999999999</v>
      </c>
      <c r="R9" s="16">
        <v>58.2</v>
      </c>
      <c r="S9" s="16">
        <v>100.8</v>
      </c>
      <c r="T9" s="16">
        <v>58.8</v>
      </c>
      <c r="U9" s="16">
        <v>37.299999999999997</v>
      </c>
      <c r="V9" s="16">
        <v>5.0999999999999996</v>
      </c>
      <c r="W9" s="16">
        <v>101.3</v>
      </c>
      <c r="X9" s="16">
        <v>72.7</v>
      </c>
      <c r="Y9" s="16">
        <v>49.8</v>
      </c>
      <c r="Z9" s="16">
        <v>171.1</v>
      </c>
      <c r="AA9" s="16">
        <v>78.099999999999994</v>
      </c>
    </row>
    <row r="10" spans="1:27" x14ac:dyDescent="0.25">
      <c r="A10">
        <v>2000</v>
      </c>
      <c r="B10">
        <v>3.9</v>
      </c>
      <c r="C10">
        <v>6.7</v>
      </c>
      <c r="D10">
        <v>9.3000000000000007</v>
      </c>
      <c r="E10">
        <v>14</v>
      </c>
      <c r="F10">
        <v>19.8</v>
      </c>
      <c r="G10">
        <v>23.6</v>
      </c>
      <c r="H10">
        <v>23.3</v>
      </c>
      <c r="I10">
        <v>25.6</v>
      </c>
      <c r="J10">
        <v>20.5</v>
      </c>
      <c r="K10">
        <v>17.100000000000001</v>
      </c>
      <c r="L10">
        <v>13.3</v>
      </c>
      <c r="M10">
        <v>9.1999999999999993</v>
      </c>
      <c r="O10">
        <v>2000</v>
      </c>
      <c r="P10" s="16">
        <v>0.3</v>
      </c>
      <c r="Q10" s="16">
        <v>22.9</v>
      </c>
      <c r="R10" s="16">
        <v>77.900000000000006</v>
      </c>
      <c r="S10" s="16">
        <v>36.9</v>
      </c>
      <c r="T10" s="16">
        <v>17.7</v>
      </c>
      <c r="U10" s="16">
        <v>1.3</v>
      </c>
      <c r="V10" s="16">
        <v>62.6</v>
      </c>
      <c r="W10" s="16">
        <v>0.6</v>
      </c>
      <c r="X10" s="16">
        <v>28.1</v>
      </c>
      <c r="Y10" s="16">
        <v>98.7</v>
      </c>
      <c r="Z10" s="16">
        <v>190.3</v>
      </c>
      <c r="AA10" s="16">
        <v>97.6</v>
      </c>
    </row>
    <row r="11" spans="1:27" x14ac:dyDescent="0.25">
      <c r="A11">
        <v>2001</v>
      </c>
      <c r="B11">
        <v>8.5</v>
      </c>
      <c r="C11">
        <v>8</v>
      </c>
      <c r="D11">
        <v>12.1</v>
      </c>
      <c r="E11">
        <v>12.6</v>
      </c>
      <c r="F11">
        <v>19.600000000000001</v>
      </c>
      <c r="G11">
        <v>21.1</v>
      </c>
      <c r="H11">
        <v>25</v>
      </c>
      <c r="I11">
        <v>26.4</v>
      </c>
      <c r="J11">
        <v>17.8</v>
      </c>
      <c r="K11">
        <v>17</v>
      </c>
      <c r="L11">
        <v>9.6999999999999993</v>
      </c>
      <c r="M11">
        <v>4.8</v>
      </c>
      <c r="O11">
        <v>2001</v>
      </c>
      <c r="P11" s="16">
        <v>104.8</v>
      </c>
      <c r="Q11" s="16">
        <v>5.6</v>
      </c>
      <c r="R11" s="16">
        <v>62.3</v>
      </c>
      <c r="S11" s="16">
        <v>39.6</v>
      </c>
      <c r="T11" s="16">
        <v>47.7</v>
      </c>
      <c r="U11" s="16">
        <v>52.9</v>
      </c>
      <c r="V11" s="16">
        <v>7</v>
      </c>
      <c r="W11" s="16">
        <v>14.3</v>
      </c>
      <c r="X11" s="16">
        <v>152.9</v>
      </c>
      <c r="Y11" s="16">
        <v>26.3</v>
      </c>
      <c r="Z11" s="16">
        <v>32.9</v>
      </c>
      <c r="AA11" s="16">
        <v>5.0999999999999996</v>
      </c>
    </row>
    <row r="12" spans="1:27" x14ac:dyDescent="0.25">
      <c r="A12">
        <v>2002</v>
      </c>
      <c r="B12" s="12">
        <v>4.5999999999999996</v>
      </c>
      <c r="C12" s="12">
        <v>7.8</v>
      </c>
      <c r="D12" s="12">
        <v>10.9</v>
      </c>
      <c r="E12" s="12">
        <v>13.1</v>
      </c>
      <c r="F12" s="12">
        <v>18.600000000000001</v>
      </c>
      <c r="G12" s="12">
        <v>23.8</v>
      </c>
      <c r="H12" s="12">
        <v>24.6</v>
      </c>
      <c r="I12" s="12">
        <v>24</v>
      </c>
      <c r="J12" s="12">
        <v>19.100000000000001</v>
      </c>
      <c r="K12" s="12">
        <v>16.3</v>
      </c>
      <c r="L12" s="12">
        <v>14.1</v>
      </c>
      <c r="M12" s="12">
        <v>8.8000000000000007</v>
      </c>
      <c r="O12">
        <v>2002</v>
      </c>
      <c r="P12" s="17">
        <v>20.2</v>
      </c>
      <c r="Q12" s="17">
        <v>52.6</v>
      </c>
      <c r="R12" s="17">
        <v>3</v>
      </c>
      <c r="S12" s="17">
        <v>81.2</v>
      </c>
      <c r="T12" s="17">
        <v>80.8</v>
      </c>
      <c r="U12" s="17">
        <v>74</v>
      </c>
      <c r="V12" s="17">
        <v>108.2</v>
      </c>
      <c r="W12" s="17">
        <v>120.5</v>
      </c>
      <c r="X12" s="17">
        <v>148.80000000000001</v>
      </c>
      <c r="Y12" s="17">
        <v>127.5</v>
      </c>
      <c r="Z12" s="17">
        <v>116.8</v>
      </c>
      <c r="AA12" s="17">
        <v>70.5</v>
      </c>
    </row>
    <row r="13" spans="1:27" x14ac:dyDescent="0.25">
      <c r="A13">
        <v>2003</v>
      </c>
      <c r="B13" s="12">
        <v>5.7</v>
      </c>
      <c r="C13" s="12">
        <v>3.8</v>
      </c>
      <c r="D13" s="12">
        <v>8.9</v>
      </c>
      <c r="E13" s="12">
        <v>12.7</v>
      </c>
      <c r="F13" s="12">
        <v>20.100000000000001</v>
      </c>
      <c r="G13" s="12">
        <v>26.3</v>
      </c>
      <c r="H13" s="12">
        <v>26.7</v>
      </c>
      <c r="I13" s="12">
        <v>28.1</v>
      </c>
      <c r="J13" s="12">
        <v>19.2</v>
      </c>
      <c r="K13" s="12">
        <v>14.4</v>
      </c>
      <c r="L13" s="12">
        <v>11.9</v>
      </c>
      <c r="M13" s="12">
        <v>8.1</v>
      </c>
      <c r="O13">
        <v>2003</v>
      </c>
      <c r="P13" s="17">
        <v>53.4</v>
      </c>
      <c r="Q13" s="17">
        <v>11.6</v>
      </c>
      <c r="R13" s="17">
        <v>19.2</v>
      </c>
      <c r="S13" s="17">
        <v>61.9</v>
      </c>
      <c r="T13" s="17">
        <v>6.3</v>
      </c>
      <c r="U13" s="17">
        <v>32.9</v>
      </c>
      <c r="V13" s="17">
        <v>0.5</v>
      </c>
      <c r="W13" s="17">
        <v>8.1999999999999993</v>
      </c>
      <c r="X13" s="17">
        <v>159</v>
      </c>
      <c r="Y13" s="17">
        <v>87.6</v>
      </c>
      <c r="Z13" s="17">
        <v>78.599999999999994</v>
      </c>
      <c r="AA13" s="17">
        <v>45.4</v>
      </c>
    </row>
    <row r="14" spans="1:27" x14ac:dyDescent="0.25">
      <c r="A14">
        <v>2004</v>
      </c>
      <c r="B14" s="13">
        <v>4.5999999999999996</v>
      </c>
      <c r="C14" s="13">
        <v>5.5</v>
      </c>
      <c r="D14" s="13">
        <v>8.1</v>
      </c>
      <c r="E14" s="13">
        <v>12.7</v>
      </c>
      <c r="F14" s="13">
        <v>16</v>
      </c>
      <c r="G14" s="13">
        <v>21.6</v>
      </c>
      <c r="H14" s="13">
        <v>24.9</v>
      </c>
      <c r="I14" s="13">
        <v>24.9</v>
      </c>
      <c r="J14" s="13">
        <v>20.5</v>
      </c>
      <c r="K14" s="13">
        <v>17.3</v>
      </c>
      <c r="L14" s="13">
        <v>11</v>
      </c>
      <c r="M14" s="13">
        <v>8.3000000000000007</v>
      </c>
      <c r="O14">
        <v>2004</v>
      </c>
      <c r="P14" s="16">
        <v>77.5</v>
      </c>
      <c r="Q14" s="16">
        <v>105</v>
      </c>
      <c r="R14" s="16">
        <v>43.7</v>
      </c>
      <c r="S14" s="16">
        <v>67.2</v>
      </c>
      <c r="T14" s="16">
        <v>102.7</v>
      </c>
      <c r="U14" s="16">
        <v>37.6</v>
      </c>
      <c r="V14" s="16">
        <v>4.3</v>
      </c>
      <c r="W14" s="16">
        <v>6.4</v>
      </c>
      <c r="X14" s="16">
        <v>70.599999999999994</v>
      </c>
      <c r="Y14" s="16">
        <v>121</v>
      </c>
      <c r="Z14" s="16">
        <v>117.1</v>
      </c>
      <c r="AA14" s="16">
        <v>129</v>
      </c>
    </row>
    <row r="15" spans="1:27" x14ac:dyDescent="0.25">
      <c r="A15">
        <v>2005</v>
      </c>
      <c r="B15" s="13">
        <v>4.4000000000000004</v>
      </c>
      <c r="C15" s="13">
        <v>3.9</v>
      </c>
      <c r="D15" s="13">
        <v>8.1</v>
      </c>
      <c r="E15" s="13">
        <v>12.2</v>
      </c>
      <c r="F15" s="13">
        <v>18</v>
      </c>
      <c r="G15" s="13">
        <v>22.7</v>
      </c>
      <c r="H15" s="13">
        <v>24.7</v>
      </c>
      <c r="I15" s="13">
        <v>21.7</v>
      </c>
      <c r="J15" s="13">
        <v>19.8</v>
      </c>
      <c r="K15" s="13">
        <v>14.6</v>
      </c>
      <c r="L15" s="13">
        <v>10.3</v>
      </c>
      <c r="M15" s="13">
        <v>6.2</v>
      </c>
      <c r="O15">
        <v>2005</v>
      </c>
      <c r="P15" s="16">
        <v>26.4</v>
      </c>
      <c r="Q15" s="16">
        <v>51.2</v>
      </c>
      <c r="R15" s="16">
        <v>49.8</v>
      </c>
      <c r="S15" s="16">
        <v>75</v>
      </c>
      <c r="T15" s="16">
        <v>79.5</v>
      </c>
      <c r="U15" s="16">
        <v>6.9</v>
      </c>
      <c r="V15" s="16">
        <v>116.7</v>
      </c>
      <c r="W15" s="16">
        <v>188.3</v>
      </c>
      <c r="X15" s="16">
        <v>74.7</v>
      </c>
      <c r="Y15" s="16">
        <v>106.7</v>
      </c>
      <c r="Z15" s="16">
        <v>76.900000000000006</v>
      </c>
      <c r="AA15" s="16">
        <v>96</v>
      </c>
    </row>
    <row r="16" spans="1:27" x14ac:dyDescent="0.25">
      <c r="A16">
        <v>2006</v>
      </c>
      <c r="B16" s="13">
        <v>4.5999999999999996</v>
      </c>
      <c r="C16" s="13">
        <v>5.8</v>
      </c>
      <c r="D16" s="13">
        <v>7.5</v>
      </c>
      <c r="E16" s="13">
        <v>13</v>
      </c>
      <c r="F16" s="13">
        <v>17.3</v>
      </c>
      <c r="G16" s="13">
        <v>22.2</v>
      </c>
      <c r="H16" s="13">
        <v>26.7</v>
      </c>
      <c r="I16" s="13">
        <v>21.9</v>
      </c>
      <c r="J16" s="13">
        <v>20.3</v>
      </c>
      <c r="K16" s="13">
        <v>17.2</v>
      </c>
      <c r="L16" s="13">
        <v>12.2</v>
      </c>
      <c r="M16" s="13">
        <v>9.1</v>
      </c>
      <c r="O16">
        <v>2006</v>
      </c>
      <c r="P16" s="16">
        <v>70.7</v>
      </c>
      <c r="Q16" s="16">
        <v>36.799999999999997</v>
      </c>
      <c r="R16" s="16">
        <v>56.7</v>
      </c>
      <c r="S16" s="16">
        <v>36.299999999999997</v>
      </c>
      <c r="T16" s="16">
        <v>91.1</v>
      </c>
      <c r="U16" s="16">
        <v>8.1999999999999993</v>
      </c>
      <c r="V16" s="16">
        <v>3.6</v>
      </c>
      <c r="W16" s="16">
        <v>128</v>
      </c>
      <c r="X16" s="16">
        <v>114.9</v>
      </c>
      <c r="Y16" s="16">
        <v>5.9</v>
      </c>
      <c r="Z16" s="16">
        <v>34.4</v>
      </c>
      <c r="AA16" s="16">
        <v>54</v>
      </c>
    </row>
    <row r="17" spans="1:27" x14ac:dyDescent="0.25">
      <c r="A17">
        <v>2007</v>
      </c>
      <c r="B17" s="13">
        <v>8.8000000000000007</v>
      </c>
      <c r="C17" s="13">
        <v>9.1</v>
      </c>
      <c r="D17" s="13">
        <v>11.3</v>
      </c>
      <c r="E17" s="13">
        <v>15.7</v>
      </c>
      <c r="F17" s="13">
        <v>19.5</v>
      </c>
      <c r="G17" s="13">
        <v>23.6</v>
      </c>
      <c r="H17" s="13">
        <v>26</v>
      </c>
      <c r="I17" s="13">
        <v>23.4</v>
      </c>
      <c r="J17" s="13">
        <v>18.2</v>
      </c>
      <c r="K17" s="13">
        <v>13.9</v>
      </c>
      <c r="L17" s="13">
        <v>9.6</v>
      </c>
      <c r="M17" s="13">
        <v>6.5</v>
      </c>
      <c r="O17">
        <v>2007</v>
      </c>
      <c r="P17" s="16">
        <v>32.799999999999997</v>
      </c>
      <c r="Q17" s="16">
        <v>74.7</v>
      </c>
      <c r="R17" s="16">
        <v>64.099999999999994</v>
      </c>
      <c r="S17" s="16">
        <v>0</v>
      </c>
      <c r="T17" s="16">
        <v>120.9</v>
      </c>
      <c r="U17" s="16">
        <v>19.3</v>
      </c>
      <c r="V17" s="16">
        <v>4.8</v>
      </c>
      <c r="W17" s="16">
        <v>59.2</v>
      </c>
      <c r="X17" s="16">
        <v>136.4</v>
      </c>
      <c r="Y17" s="16">
        <v>44</v>
      </c>
      <c r="Z17" s="16">
        <v>18.5</v>
      </c>
      <c r="AA17" s="16">
        <v>73.8</v>
      </c>
    </row>
    <row r="18" spans="1:27" x14ac:dyDescent="0.25">
      <c r="A18">
        <v>2008</v>
      </c>
      <c r="B18" s="13">
        <v>7.9</v>
      </c>
      <c r="C18" s="13">
        <v>6.7</v>
      </c>
      <c r="D18" s="13">
        <v>9.4</v>
      </c>
      <c r="E18" s="13">
        <v>13.6</v>
      </c>
      <c r="F18" s="13">
        <v>18.8</v>
      </c>
      <c r="G18" s="13">
        <v>22.9</v>
      </c>
      <c r="H18" s="13">
        <v>25.5</v>
      </c>
      <c r="I18" s="13">
        <v>24.9</v>
      </c>
      <c r="J18" s="13">
        <v>18.899999999999999</v>
      </c>
      <c r="K18" s="13">
        <v>16.100000000000001</v>
      </c>
      <c r="L18" s="13">
        <v>11.7</v>
      </c>
      <c r="M18" s="13">
        <v>7.8</v>
      </c>
      <c r="O18">
        <v>2008</v>
      </c>
      <c r="P18" s="16">
        <v>47.2</v>
      </c>
      <c r="Q18" s="16">
        <v>25.1</v>
      </c>
      <c r="R18" s="16">
        <v>62.9</v>
      </c>
      <c r="S18" s="16">
        <v>71.400000000000006</v>
      </c>
      <c r="T18" s="16">
        <v>40.5</v>
      </c>
      <c r="U18" s="16">
        <v>74.099999999999994</v>
      </c>
      <c r="V18" s="16">
        <v>2.7</v>
      </c>
      <c r="W18" s="16">
        <v>44.7</v>
      </c>
      <c r="X18" s="16">
        <v>37.700000000000003</v>
      </c>
      <c r="Y18" s="16">
        <v>17.5</v>
      </c>
      <c r="Z18" s="16">
        <v>217.4</v>
      </c>
      <c r="AA18" s="16">
        <v>209.7</v>
      </c>
    </row>
    <row r="19" spans="1:27" x14ac:dyDescent="0.25">
      <c r="A19">
        <v>2009</v>
      </c>
      <c r="B19" s="13">
        <v>6</v>
      </c>
      <c r="C19" s="13">
        <v>6.3</v>
      </c>
      <c r="D19" s="13">
        <v>9.5</v>
      </c>
      <c r="E19" s="13">
        <v>14.7</v>
      </c>
      <c r="F19" s="13">
        <v>19.899999999999999</v>
      </c>
      <c r="G19" s="13">
        <v>21.6</v>
      </c>
      <c r="H19" s="13">
        <v>25.6</v>
      </c>
      <c r="I19" s="13">
        <v>25.7</v>
      </c>
      <c r="J19" s="13">
        <v>21.7</v>
      </c>
      <c r="K19" s="13">
        <v>14.8</v>
      </c>
      <c r="L19" s="13">
        <v>12.2</v>
      </c>
      <c r="M19" s="13">
        <v>7.5</v>
      </c>
      <c r="O19">
        <v>2009</v>
      </c>
      <c r="P19" s="16">
        <v>138.69999999999999</v>
      </c>
      <c r="Q19" s="16">
        <v>70.8</v>
      </c>
      <c r="R19" s="16">
        <v>71.900000000000006</v>
      </c>
      <c r="S19" s="16">
        <v>43.4</v>
      </c>
      <c r="T19" s="16">
        <v>6</v>
      </c>
      <c r="U19" s="16">
        <v>38.200000000000003</v>
      </c>
      <c r="V19" s="16">
        <v>36.299999999999997</v>
      </c>
      <c r="W19" s="16">
        <v>111.5</v>
      </c>
      <c r="X19" s="16">
        <v>91.9</v>
      </c>
      <c r="Y19" s="16">
        <v>72.8</v>
      </c>
      <c r="Z19" s="16">
        <v>205.8</v>
      </c>
      <c r="AA19" s="16">
        <v>207</v>
      </c>
    </row>
    <row r="20" spans="1:27" x14ac:dyDescent="0.25">
      <c r="A20">
        <v>2010</v>
      </c>
      <c r="B20" s="13">
        <v>4.8</v>
      </c>
      <c r="C20" s="13">
        <v>6.8</v>
      </c>
      <c r="D20" s="13">
        <v>8.1999999999999993</v>
      </c>
      <c r="E20" s="13">
        <v>13.4</v>
      </c>
      <c r="F20" s="13">
        <v>17.3</v>
      </c>
      <c r="G20" s="13">
        <v>22</v>
      </c>
      <c r="H20" s="13">
        <v>25.9</v>
      </c>
      <c r="I20" s="13">
        <v>23.8</v>
      </c>
      <c r="J20" s="13">
        <v>19.100000000000001</v>
      </c>
      <c r="K20" s="13">
        <v>14.4</v>
      </c>
      <c r="L20" s="13">
        <v>11.9</v>
      </c>
      <c r="M20" s="13">
        <v>6</v>
      </c>
      <c r="O20">
        <v>2010</v>
      </c>
      <c r="P20" s="16">
        <v>171</v>
      </c>
      <c r="Q20" s="16">
        <v>129.5</v>
      </c>
      <c r="R20" s="16">
        <v>34.5</v>
      </c>
      <c r="S20" s="16">
        <v>98.1</v>
      </c>
      <c r="T20" s="16">
        <v>99.8</v>
      </c>
      <c r="U20" s="16">
        <v>109.8</v>
      </c>
      <c r="V20" s="16">
        <v>24</v>
      </c>
      <c r="W20" s="16">
        <v>88.2</v>
      </c>
      <c r="X20" s="16">
        <v>230.5</v>
      </c>
      <c r="Y20" s="16">
        <v>48.8</v>
      </c>
      <c r="Z20" s="16">
        <v>286.89999999999998</v>
      </c>
      <c r="AA20" s="16">
        <v>145.1</v>
      </c>
    </row>
    <row r="21" spans="1:27" x14ac:dyDescent="0.25">
      <c r="A21">
        <v>2011</v>
      </c>
      <c r="B21" s="13">
        <v>6</v>
      </c>
      <c r="C21" s="13">
        <v>6.3</v>
      </c>
      <c r="D21" s="13">
        <v>9</v>
      </c>
      <c r="E21" s="13">
        <v>14.8</v>
      </c>
      <c r="F21" s="13">
        <v>18.899999999999999</v>
      </c>
      <c r="G21" s="13">
        <v>23.4</v>
      </c>
      <c r="H21" s="13">
        <v>24.3</v>
      </c>
      <c r="I21" s="13">
        <v>25.6</v>
      </c>
      <c r="J21" s="13">
        <v>23.1</v>
      </c>
      <c r="K21" s="13">
        <v>14.9</v>
      </c>
      <c r="L21" s="13">
        <v>10.6</v>
      </c>
      <c r="M21" s="13">
        <v>9</v>
      </c>
      <c r="O21">
        <v>2011</v>
      </c>
      <c r="P21" s="16">
        <v>18.899999999999999</v>
      </c>
      <c r="Q21" s="16">
        <v>11.1</v>
      </c>
      <c r="R21" s="16">
        <v>85</v>
      </c>
      <c r="S21" s="16">
        <v>20.399999999999999</v>
      </c>
      <c r="T21" s="16">
        <v>29</v>
      </c>
      <c r="U21" s="16">
        <v>11.4</v>
      </c>
      <c r="V21" s="16">
        <v>127.6</v>
      </c>
      <c r="W21" s="16">
        <v>5.0999999999999996</v>
      </c>
      <c r="X21" s="16">
        <v>26</v>
      </c>
      <c r="Y21" s="16">
        <v>60.7</v>
      </c>
      <c r="Z21" s="16">
        <v>34.1</v>
      </c>
      <c r="AA21" s="16">
        <v>19.100000000000001</v>
      </c>
    </row>
    <row r="22" spans="1:27" x14ac:dyDescent="0.25">
      <c r="A22">
        <v>2012</v>
      </c>
      <c r="B22" s="13">
        <v>5.7</v>
      </c>
      <c r="C22" s="13">
        <v>2.2999999999999998</v>
      </c>
      <c r="D22" s="13">
        <v>11.2</v>
      </c>
      <c r="E22" s="13">
        <v>13.2</v>
      </c>
      <c r="F22" s="13">
        <v>17.8</v>
      </c>
      <c r="G22" s="13">
        <v>24.4</v>
      </c>
      <c r="H22" s="13">
        <v>27</v>
      </c>
      <c r="I22" s="13">
        <v>26.6</v>
      </c>
      <c r="J22" s="13">
        <v>21.3</v>
      </c>
      <c r="K22" s="13">
        <v>15.6</v>
      </c>
      <c r="L22" s="13" t="s">
        <v>111</v>
      </c>
      <c r="M22" s="13" t="s">
        <v>111</v>
      </c>
      <c r="O22">
        <v>2012</v>
      </c>
      <c r="P22" s="16">
        <v>18.5</v>
      </c>
      <c r="Q22" s="16">
        <v>23.5</v>
      </c>
      <c r="R22" s="16">
        <v>0</v>
      </c>
      <c r="S22" s="16">
        <v>55.5</v>
      </c>
      <c r="T22" s="16">
        <v>55.3</v>
      </c>
      <c r="U22" s="16">
        <v>41</v>
      </c>
      <c r="V22" s="16">
        <v>1.8</v>
      </c>
      <c r="W22" s="16">
        <v>11.4</v>
      </c>
      <c r="X22" s="16">
        <v>156.80000000000001</v>
      </c>
      <c r="Y22" s="16">
        <v>90.5</v>
      </c>
      <c r="Z22" s="16" t="s">
        <v>111</v>
      </c>
      <c r="AA22" s="16" t="s">
        <v>111</v>
      </c>
    </row>
    <row r="23" spans="1:27" x14ac:dyDescent="0.25">
      <c r="A23">
        <v>2013</v>
      </c>
      <c r="B23" s="13" t="s">
        <v>111</v>
      </c>
      <c r="C23" s="13">
        <v>5.7</v>
      </c>
      <c r="D23" s="13">
        <v>8.3000000000000007</v>
      </c>
      <c r="E23" s="13">
        <v>13.9</v>
      </c>
      <c r="F23" s="13">
        <v>17.3</v>
      </c>
      <c r="G23" s="13">
        <v>22.2</v>
      </c>
      <c r="H23" s="13">
        <v>26</v>
      </c>
      <c r="I23" s="13">
        <v>24.9</v>
      </c>
      <c r="J23" s="13">
        <v>20</v>
      </c>
      <c r="K23" s="13">
        <v>15.6</v>
      </c>
      <c r="L23" s="13">
        <v>12</v>
      </c>
      <c r="M23" s="13">
        <v>8.5</v>
      </c>
      <c r="O23">
        <v>2013</v>
      </c>
      <c r="P23" s="16" t="s">
        <v>111</v>
      </c>
      <c r="Q23" s="16">
        <v>109.3</v>
      </c>
      <c r="R23" s="16">
        <v>137.30000000000001</v>
      </c>
      <c r="S23" s="16">
        <v>47.5</v>
      </c>
      <c r="T23" s="16">
        <v>89.9</v>
      </c>
      <c r="U23" s="16">
        <v>41.1</v>
      </c>
      <c r="V23" s="16">
        <v>2.2999999999999998</v>
      </c>
      <c r="W23" s="16">
        <v>84.7</v>
      </c>
      <c r="X23" s="16">
        <v>65.3</v>
      </c>
      <c r="Y23" s="16">
        <v>124.7</v>
      </c>
      <c r="Z23" s="16">
        <v>159.19999999999999</v>
      </c>
      <c r="AA23" s="16">
        <v>14.2</v>
      </c>
    </row>
    <row r="24" spans="1:27" x14ac:dyDescent="0.25">
      <c r="A24">
        <v>2014</v>
      </c>
      <c r="B24" s="13">
        <v>9.6</v>
      </c>
      <c r="C24" s="13">
        <v>10.5</v>
      </c>
      <c r="D24" s="13">
        <v>11.8</v>
      </c>
      <c r="E24" s="13">
        <v>14.9</v>
      </c>
      <c r="F24" s="13">
        <v>17.8</v>
      </c>
      <c r="G24" s="13">
        <v>22.7</v>
      </c>
      <c r="H24" s="13">
        <v>22.9</v>
      </c>
      <c r="I24" s="13">
        <v>23.1</v>
      </c>
      <c r="J24" s="13">
        <v>18.8</v>
      </c>
      <c r="K24" s="13">
        <v>16.399999999999999</v>
      </c>
      <c r="L24" s="13">
        <v>13.8</v>
      </c>
      <c r="M24" s="13">
        <v>8.3000000000000007</v>
      </c>
      <c r="O24">
        <v>2014</v>
      </c>
      <c r="P24" s="16">
        <v>115.1</v>
      </c>
      <c r="Q24" s="16">
        <v>224.2</v>
      </c>
      <c r="R24" s="16">
        <v>83</v>
      </c>
      <c r="S24" s="16">
        <v>39.5</v>
      </c>
      <c r="T24" s="16">
        <v>36.299999999999997</v>
      </c>
      <c r="U24" s="16">
        <v>79.2</v>
      </c>
      <c r="V24" s="16">
        <v>217.4</v>
      </c>
      <c r="W24" s="16">
        <v>95.9</v>
      </c>
      <c r="X24" s="16">
        <v>220.1</v>
      </c>
      <c r="Y24" s="16">
        <v>39.1</v>
      </c>
      <c r="Z24" s="16">
        <v>229.1</v>
      </c>
      <c r="AA24" s="16">
        <v>135.19999999999999</v>
      </c>
    </row>
    <row r="25" spans="1:27" x14ac:dyDescent="0.25">
      <c r="A25">
        <v>2015</v>
      </c>
      <c r="B25" s="13">
        <v>7.3</v>
      </c>
      <c r="C25" s="13">
        <v>6.7</v>
      </c>
      <c r="D25" s="13">
        <v>10</v>
      </c>
      <c r="E25" s="13">
        <v>13</v>
      </c>
      <c r="F25" s="13">
        <v>18.8</v>
      </c>
      <c r="G25" s="13">
        <v>23.2</v>
      </c>
      <c r="H25" s="13">
        <v>27</v>
      </c>
      <c r="I25" s="13">
        <v>25</v>
      </c>
      <c r="J25" s="13">
        <v>20.2</v>
      </c>
      <c r="K25" s="13">
        <v>14.7</v>
      </c>
      <c r="L25" s="13">
        <v>10.4</v>
      </c>
      <c r="M25" s="13">
        <v>7.5</v>
      </c>
      <c r="O25">
        <v>2015</v>
      </c>
      <c r="P25" s="16">
        <v>66.8</v>
      </c>
      <c r="Q25" s="16">
        <v>60</v>
      </c>
      <c r="R25" s="16">
        <v>39.1</v>
      </c>
      <c r="S25" s="16">
        <v>16.2</v>
      </c>
      <c r="T25" s="16">
        <v>32.200000000000003</v>
      </c>
      <c r="U25" s="16">
        <v>29.5</v>
      </c>
      <c r="V25" s="16">
        <v>0.7</v>
      </c>
      <c r="W25" s="16">
        <v>89.5</v>
      </c>
      <c r="X25" s="16">
        <v>69.900000000000006</v>
      </c>
      <c r="Y25" s="16">
        <v>159.80000000000001</v>
      </c>
      <c r="Z25" s="16">
        <v>19.899999999999999</v>
      </c>
      <c r="AA25" s="16">
        <v>0</v>
      </c>
    </row>
    <row r="26" spans="1:27" x14ac:dyDescent="0.25">
      <c r="A26">
        <v>2016</v>
      </c>
      <c r="B26" s="13">
        <v>6.8</v>
      </c>
      <c r="C26" s="13">
        <v>9.4</v>
      </c>
      <c r="D26" s="13">
        <v>9.6</v>
      </c>
      <c r="E26" s="13">
        <v>13.4</v>
      </c>
      <c r="F26" s="13">
        <v>16.7</v>
      </c>
      <c r="G26" s="13">
        <v>22.2</v>
      </c>
      <c r="H26" s="13">
        <v>25.8</v>
      </c>
      <c r="I26" s="13">
        <v>24</v>
      </c>
      <c r="J26" s="13">
        <v>21.1</v>
      </c>
      <c r="K26" s="13">
        <v>14.5</v>
      </c>
      <c r="L26" s="13">
        <v>11.2</v>
      </c>
      <c r="M26" s="13">
        <v>6.8</v>
      </c>
      <c r="O26">
        <v>2016</v>
      </c>
      <c r="P26" s="16">
        <v>133.5</v>
      </c>
      <c r="Q26" s="16">
        <v>161.4</v>
      </c>
      <c r="R26" s="16">
        <v>105.5</v>
      </c>
      <c r="S26" s="16">
        <v>39.5</v>
      </c>
      <c r="T26" s="16">
        <v>82.3</v>
      </c>
      <c r="U26" s="16">
        <v>12.2</v>
      </c>
      <c r="V26" s="16">
        <v>7.7</v>
      </c>
      <c r="W26" s="16">
        <v>48.2</v>
      </c>
      <c r="X26" s="16">
        <v>108.2</v>
      </c>
      <c r="Y26" s="16">
        <v>179.5</v>
      </c>
      <c r="Z26" s="16">
        <v>155</v>
      </c>
      <c r="AA26" s="16">
        <v>0.2</v>
      </c>
    </row>
    <row r="27" spans="1:27" x14ac:dyDescent="0.25">
      <c r="A27">
        <v>2017</v>
      </c>
      <c r="B27" s="13">
        <v>3.2</v>
      </c>
      <c r="C27" s="13">
        <v>7.8</v>
      </c>
      <c r="D27" s="13">
        <v>11.1</v>
      </c>
      <c r="E27" s="13">
        <v>13.4</v>
      </c>
      <c r="F27" s="13">
        <v>18.100000000000001</v>
      </c>
      <c r="G27" s="13">
        <v>24.3</v>
      </c>
      <c r="H27" s="13">
        <v>25.7</v>
      </c>
      <c r="I27" s="13">
        <v>25.6</v>
      </c>
      <c r="J27" s="13">
        <v>18.3</v>
      </c>
      <c r="K27" s="13">
        <v>14.5</v>
      </c>
      <c r="L27" s="13">
        <v>10.6</v>
      </c>
      <c r="M27" s="13">
        <v>7</v>
      </c>
      <c r="O27">
        <v>2017</v>
      </c>
      <c r="P27" s="16">
        <v>22.8</v>
      </c>
      <c r="Q27" s="16">
        <v>131.30000000000001</v>
      </c>
      <c r="R27" s="16">
        <v>23.8</v>
      </c>
      <c r="S27" s="16">
        <v>37.700000000000003</v>
      </c>
      <c r="T27" s="16">
        <v>68.2</v>
      </c>
      <c r="U27" s="16">
        <v>34.799999999999997</v>
      </c>
      <c r="V27" s="16">
        <v>36.4</v>
      </c>
      <c r="W27" s="16">
        <v>24.8</v>
      </c>
      <c r="X27" s="16">
        <v>241.6</v>
      </c>
      <c r="Y27" s="16">
        <v>33.6</v>
      </c>
      <c r="Z27" s="16">
        <v>178.6</v>
      </c>
      <c r="AA27" s="16">
        <v>62.4</v>
      </c>
    </row>
    <row r="28" spans="1:27" x14ac:dyDescent="0.25">
      <c r="A28">
        <v>2018</v>
      </c>
      <c r="B28" s="16">
        <v>8.3000000000000007</v>
      </c>
      <c r="C28" s="16">
        <v>4.0999999999999996</v>
      </c>
      <c r="D28" s="16">
        <v>8.1</v>
      </c>
      <c r="E28" s="16">
        <v>15.7</v>
      </c>
      <c r="F28" s="16">
        <v>20.5</v>
      </c>
      <c r="G28" s="16">
        <v>23.3</v>
      </c>
      <c r="H28" s="16">
        <v>25.2</v>
      </c>
      <c r="I28" s="16">
        <v>26.5</v>
      </c>
      <c r="J28" s="16">
        <v>21.1</v>
      </c>
      <c r="K28" s="16">
        <v>17</v>
      </c>
      <c r="L28" s="16">
        <v>12.1</v>
      </c>
      <c r="M28" s="16">
        <v>7</v>
      </c>
      <c r="O28">
        <v>2018</v>
      </c>
      <c r="P28" s="16">
        <v>31.6</v>
      </c>
      <c r="Q28" s="16">
        <v>150.5</v>
      </c>
      <c r="R28" s="16">
        <v>126.2</v>
      </c>
      <c r="S28" s="16">
        <v>40.700000000000003</v>
      </c>
      <c r="T28" s="16">
        <v>44.8</v>
      </c>
      <c r="U28" s="16">
        <v>129.80000000000001</v>
      </c>
      <c r="V28" s="16">
        <v>49</v>
      </c>
      <c r="W28" s="16">
        <v>29.1</v>
      </c>
      <c r="X28" s="16">
        <v>18.600000000000001</v>
      </c>
      <c r="Y28" s="16">
        <v>107.9</v>
      </c>
      <c r="Z28" s="16">
        <v>61.1</v>
      </c>
      <c r="AA28" s="16">
        <v>35.1</v>
      </c>
    </row>
    <row r="29" spans="1:27" x14ac:dyDescent="0.25">
      <c r="A29">
        <v>2019</v>
      </c>
      <c r="B29" s="16">
        <v>5.2</v>
      </c>
      <c r="C29" s="16">
        <v>8</v>
      </c>
      <c r="D29" s="16">
        <v>10.7</v>
      </c>
      <c r="E29" s="16">
        <v>13.6</v>
      </c>
      <c r="F29" s="16">
        <v>14.8</v>
      </c>
      <c r="G29" s="16">
        <v>24.7</v>
      </c>
      <c r="H29" s="16">
        <v>25</v>
      </c>
      <c r="I29" s="16">
        <v>25.6</v>
      </c>
      <c r="J29" s="16">
        <v>20.100000000000001</v>
      </c>
      <c r="K29" s="16">
        <v>16.100000000000001</v>
      </c>
      <c r="L29" s="16">
        <v>13.8</v>
      </c>
      <c r="M29" s="16">
        <v>9.5</v>
      </c>
      <c r="O29">
        <v>2019</v>
      </c>
      <c r="P29" s="16">
        <v>23.6</v>
      </c>
      <c r="Q29" s="16">
        <v>121.4</v>
      </c>
      <c r="R29" s="16">
        <v>17.8</v>
      </c>
      <c r="S29" s="16">
        <v>99.8</v>
      </c>
      <c r="T29" s="16">
        <v>207.1</v>
      </c>
      <c r="U29" s="16">
        <v>29.9</v>
      </c>
      <c r="V29" s="16">
        <v>57.8</v>
      </c>
      <c r="W29" s="16">
        <v>45.8</v>
      </c>
      <c r="X29" s="16">
        <v>82.6</v>
      </c>
      <c r="Y29" s="16">
        <v>42.5</v>
      </c>
      <c r="Z29" s="16">
        <v>241.3</v>
      </c>
      <c r="AA29" s="16">
        <v>181.9</v>
      </c>
    </row>
    <row r="30" spans="1:27" x14ac:dyDescent="0.25">
      <c r="A30">
        <v>2020</v>
      </c>
      <c r="B30" s="16">
        <v>7.3</v>
      </c>
      <c r="C30" s="16">
        <v>9.5</v>
      </c>
      <c r="D30" s="16">
        <v>9.9</v>
      </c>
      <c r="E30" s="16">
        <v>14.3</v>
      </c>
      <c r="F30" s="16">
        <v>18.8</v>
      </c>
      <c r="G30" s="16">
        <v>22.2</v>
      </c>
      <c r="H30" s="16">
        <v>24.7</v>
      </c>
      <c r="I30" s="16">
        <v>25.5</v>
      </c>
      <c r="J30" s="16">
        <v>21</v>
      </c>
      <c r="K30" s="16">
        <v>14.5</v>
      </c>
      <c r="L30" s="16">
        <v>11</v>
      </c>
      <c r="M30" s="16">
        <v>8.9</v>
      </c>
      <c r="O30">
        <v>2020</v>
      </c>
      <c r="P30" s="16">
        <v>13.4</v>
      </c>
      <c r="Q30" s="16">
        <v>8.1</v>
      </c>
      <c r="R30" s="16">
        <v>47.5</v>
      </c>
      <c r="S30" s="16">
        <v>3.6</v>
      </c>
      <c r="T30" s="16">
        <v>14.3</v>
      </c>
      <c r="U30" s="16">
        <v>69.7</v>
      </c>
      <c r="V30" s="16">
        <v>41.7</v>
      </c>
      <c r="W30" s="16">
        <v>44.7</v>
      </c>
      <c r="X30" s="16">
        <v>201.8</v>
      </c>
      <c r="Y30" s="16">
        <v>180.5</v>
      </c>
      <c r="Z30" s="16">
        <v>38.9</v>
      </c>
      <c r="AA30" s="16">
        <v>200.5</v>
      </c>
    </row>
    <row r="31" spans="1:27" x14ac:dyDescent="0.25">
      <c r="A31">
        <v>2021</v>
      </c>
      <c r="B31" s="16">
        <v>6.3</v>
      </c>
      <c r="C31" s="16">
        <v>8.1999999999999993</v>
      </c>
      <c r="D31" s="16">
        <v>8.5</v>
      </c>
      <c r="E31" s="16">
        <v>11.3</v>
      </c>
      <c r="F31" s="16">
        <v>16.7</v>
      </c>
      <c r="G31" s="16">
        <v>24.5</v>
      </c>
      <c r="H31" s="16">
        <v>25.9</v>
      </c>
      <c r="I31" s="16">
        <v>24.7</v>
      </c>
      <c r="J31" s="16">
        <v>20.9</v>
      </c>
      <c r="K31" s="16">
        <v>14.2</v>
      </c>
      <c r="L31" s="16">
        <v>11.9</v>
      </c>
      <c r="M31" s="16">
        <v>7.8</v>
      </c>
      <c r="O31">
        <v>2021</v>
      </c>
      <c r="P31" s="16">
        <v>94.8</v>
      </c>
      <c r="Q31" s="16">
        <v>60.5</v>
      </c>
      <c r="R31" s="16">
        <v>20.2</v>
      </c>
      <c r="S31" s="16">
        <v>73.900000000000006</v>
      </c>
      <c r="T31" s="16">
        <v>45.2</v>
      </c>
      <c r="U31" s="16">
        <v>8.5</v>
      </c>
      <c r="V31" s="16">
        <v>49.9</v>
      </c>
      <c r="W31" s="16">
        <v>30.7</v>
      </c>
      <c r="X31" s="16">
        <v>41.9</v>
      </c>
      <c r="Y31" s="16">
        <v>35.299999999999997</v>
      </c>
      <c r="Z31" s="16">
        <v>66.099999999999994</v>
      </c>
      <c r="AA31" s="16">
        <v>101.5</v>
      </c>
    </row>
    <row r="32" spans="1:27" x14ac:dyDescent="0.25">
      <c r="A32">
        <v>2022</v>
      </c>
      <c r="B32" s="16">
        <v>5.8</v>
      </c>
      <c r="C32" s="16">
        <v>7.9</v>
      </c>
      <c r="D32" s="16">
        <v>8.6</v>
      </c>
      <c r="E32" s="16">
        <v>12.6</v>
      </c>
      <c r="F32" s="16">
        <v>19.8</v>
      </c>
      <c r="G32" s="16">
        <v>25.3</v>
      </c>
      <c r="H32" s="16">
        <v>27.4</v>
      </c>
      <c r="I32" s="16">
        <v>25.8</v>
      </c>
      <c r="J32" s="16">
        <v>20.5</v>
      </c>
      <c r="K32" s="16">
        <v>17.8</v>
      </c>
      <c r="L32" s="16">
        <v>12.5</v>
      </c>
      <c r="M32" s="16">
        <v>9.8000000000000007</v>
      </c>
      <c r="O32">
        <v>2022</v>
      </c>
      <c r="P32" s="16">
        <v>28.7</v>
      </c>
      <c r="Q32" s="16">
        <v>16.2</v>
      </c>
      <c r="R32" s="16">
        <v>16.600000000000001</v>
      </c>
      <c r="S32" s="16">
        <v>54.3</v>
      </c>
      <c r="T32" s="16">
        <v>25.1</v>
      </c>
      <c r="U32" s="16">
        <v>18.899999999999999</v>
      </c>
      <c r="V32" s="16">
        <v>10.3</v>
      </c>
      <c r="W32" s="16">
        <v>52.8</v>
      </c>
      <c r="X32" s="16">
        <v>76.8</v>
      </c>
      <c r="Y32" s="16">
        <v>20.399999999999999</v>
      </c>
      <c r="Z32" s="16">
        <v>122</v>
      </c>
      <c r="AA32" s="16">
        <v>154.80000000000001</v>
      </c>
    </row>
    <row r="33" spans="1:27" x14ac:dyDescent="0.25">
      <c r="A33">
        <v>2023</v>
      </c>
      <c r="B33" s="16">
        <v>8.1999999999999993</v>
      </c>
      <c r="C33" s="16">
        <v>6.7</v>
      </c>
      <c r="D33" s="16">
        <v>10.8</v>
      </c>
      <c r="E33" s="16">
        <v>12.5</v>
      </c>
      <c r="F33" s="16">
        <v>17.899999999999999</v>
      </c>
      <c r="G33" s="16">
        <v>23.4</v>
      </c>
      <c r="H33" s="16">
        <v>25.8</v>
      </c>
      <c r="I33" s="16">
        <v>25.3</v>
      </c>
      <c r="J33" s="16">
        <v>22.7</v>
      </c>
      <c r="K33" s="16">
        <v>19.2</v>
      </c>
      <c r="L33" s="16">
        <v>12.7</v>
      </c>
      <c r="M33" s="16">
        <v>9.6999999999999993</v>
      </c>
      <c r="O33">
        <v>2023</v>
      </c>
      <c r="P33" s="16">
        <v>78.2</v>
      </c>
      <c r="Q33" s="16">
        <v>19</v>
      </c>
      <c r="R33" s="16">
        <v>36.799999999999997</v>
      </c>
      <c r="S33" s="16">
        <v>66.900000000000006</v>
      </c>
      <c r="T33" s="16">
        <v>125</v>
      </c>
      <c r="U33" s="16">
        <v>38.299999999999997</v>
      </c>
      <c r="V33" s="16">
        <v>65.599999999999994</v>
      </c>
      <c r="W33" s="16">
        <v>143.30000000000001</v>
      </c>
      <c r="X33" s="16">
        <v>12.1</v>
      </c>
      <c r="Y33" s="16">
        <v>76.5</v>
      </c>
      <c r="Z33" s="16">
        <v>110.9</v>
      </c>
      <c r="AA33" s="16">
        <v>50.7</v>
      </c>
    </row>
    <row r="34" spans="1:27" x14ac:dyDescent="0.25">
      <c r="A34">
        <v>2024</v>
      </c>
      <c r="B34">
        <v>7.1</v>
      </c>
      <c r="C34">
        <v>10.8</v>
      </c>
      <c r="D34">
        <v>12.3</v>
      </c>
      <c r="E34">
        <v>14.3</v>
      </c>
      <c r="F34">
        <v>18.3</v>
      </c>
      <c r="G34">
        <v>23.5</v>
      </c>
      <c r="H34">
        <v>26.9</v>
      </c>
      <c r="I34">
        <v>27.3</v>
      </c>
      <c r="J34">
        <v>20.8</v>
      </c>
      <c r="K34">
        <v>17.600000000000001</v>
      </c>
      <c r="L34">
        <v>11</v>
      </c>
      <c r="M34">
        <v>8.1999999999999993</v>
      </c>
      <c r="O34">
        <v>2024</v>
      </c>
      <c r="P34">
        <v>40.700000000000003</v>
      </c>
      <c r="Q34">
        <v>58.2</v>
      </c>
      <c r="R34">
        <v>96.5</v>
      </c>
      <c r="S34">
        <v>88.6</v>
      </c>
      <c r="T34">
        <v>108.1</v>
      </c>
      <c r="U34">
        <v>79.400000000000006</v>
      </c>
      <c r="V34">
        <v>23.1</v>
      </c>
      <c r="W34">
        <v>23.7</v>
      </c>
      <c r="X34">
        <v>149.5</v>
      </c>
      <c r="Y34">
        <v>101.2</v>
      </c>
      <c r="Z34">
        <v>17.600000000000001</v>
      </c>
      <c r="AA34">
        <v>126.9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34BD-4903-47A1-B0BA-A1B922C2ECA1}">
  <dimension ref="A1:AA40"/>
  <sheetViews>
    <sheetView topLeftCell="A17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-1.4599999999999997</v>
      </c>
      <c r="C2" s="4">
        <f t="shared" ref="C2:L2" si="0">AVERAGE(C5:C46)</f>
        <v>-0.40666666666666657</v>
      </c>
      <c r="D2" s="4">
        <f t="shared" si="0"/>
        <v>2.3166666666666669</v>
      </c>
      <c r="E2" s="4">
        <f t="shared" si="0"/>
        <v>6.9400000000000013</v>
      </c>
      <c r="F2" s="4">
        <f t="shared" si="0"/>
        <v>11.467000000000001</v>
      </c>
      <c r="G2" s="4">
        <f t="shared" si="0"/>
        <v>15.346666666666664</v>
      </c>
      <c r="H2" s="4">
        <f t="shared" si="0"/>
        <v>17.163333333333338</v>
      </c>
      <c r="I2" s="4">
        <f t="shared" si="0"/>
        <v>16.956666666666667</v>
      </c>
      <c r="J2" s="4">
        <f t="shared" si="0"/>
        <v>12.076666666666664</v>
      </c>
      <c r="K2" s="4">
        <f t="shared" si="0"/>
        <v>8.3566666666666656</v>
      </c>
      <c r="L2" s="4">
        <f t="shared" si="0"/>
        <v>3.6066666666666669</v>
      </c>
      <c r="M2" s="4">
        <f>AVERAGE(M5:M46)</f>
        <v>-0.26666666666666677</v>
      </c>
      <c r="O2" s="30"/>
      <c r="P2" s="4">
        <f>AVERAGE(P5:P46)</f>
        <v>77.559999999999988</v>
      </c>
      <c r="Q2" s="4">
        <f t="shared" ref="Q2:Z2" si="1">AVERAGE(Q5:Q46)</f>
        <v>84.173333333333318</v>
      </c>
      <c r="R2" s="4">
        <f t="shared" si="1"/>
        <v>75.783333333333331</v>
      </c>
      <c r="S2" s="4">
        <f t="shared" si="1"/>
        <v>89.063333333333318</v>
      </c>
      <c r="T2" s="4">
        <f t="shared" si="1"/>
        <v>116.63666666666667</v>
      </c>
      <c r="U2" s="4">
        <f t="shared" si="1"/>
        <v>120.08999999999995</v>
      </c>
      <c r="V2" s="4">
        <f t="shared" si="1"/>
        <v>118.86551724137931</v>
      </c>
      <c r="W2" s="4">
        <f t="shared" si="1"/>
        <v>109.43333333333337</v>
      </c>
      <c r="X2" s="4">
        <f t="shared" si="1"/>
        <v>148.98999999999998</v>
      </c>
      <c r="Y2" s="4">
        <f t="shared" si="1"/>
        <v>110.64333333333335</v>
      </c>
      <c r="Z2" s="4">
        <f t="shared" si="1"/>
        <v>118.48333333333336</v>
      </c>
      <c r="AA2" s="4">
        <f>AVERAGE(AA5:AA46)</f>
        <v>96.5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-3.2</v>
      </c>
      <c r="C5" s="2">
        <v>2.2999999999999998</v>
      </c>
      <c r="D5" s="2">
        <v>0.1</v>
      </c>
      <c r="E5" s="2">
        <v>6.7</v>
      </c>
      <c r="F5" s="2">
        <v>9.9</v>
      </c>
      <c r="G5" s="2">
        <v>12.2</v>
      </c>
      <c r="H5" s="2">
        <v>17.5</v>
      </c>
      <c r="I5" s="2">
        <v>14.3</v>
      </c>
      <c r="J5" s="2">
        <v>10.1</v>
      </c>
      <c r="K5" s="2">
        <v>9.5</v>
      </c>
      <c r="L5" s="2">
        <v>1.3</v>
      </c>
      <c r="M5" s="2">
        <v>-1.8</v>
      </c>
      <c r="O5">
        <v>1995</v>
      </c>
      <c r="P5">
        <v>104.5</v>
      </c>
      <c r="Q5">
        <v>123.8</v>
      </c>
      <c r="R5">
        <v>114.7</v>
      </c>
      <c r="S5">
        <v>45.4</v>
      </c>
      <c r="T5">
        <v>132.30000000000001</v>
      </c>
      <c r="U5">
        <v>191.3</v>
      </c>
      <c r="V5">
        <v>164.4</v>
      </c>
      <c r="W5">
        <v>269.5</v>
      </c>
      <c r="X5">
        <v>235.4</v>
      </c>
      <c r="Y5">
        <v>3.7</v>
      </c>
      <c r="Z5">
        <v>59.7</v>
      </c>
      <c r="AA5">
        <v>167.4</v>
      </c>
    </row>
    <row r="6" spans="1:27" x14ac:dyDescent="0.25">
      <c r="A6">
        <v>1996</v>
      </c>
      <c r="B6" s="2">
        <v>-3.7</v>
      </c>
      <c r="C6" s="2">
        <v>-4.7</v>
      </c>
      <c r="D6" s="2">
        <v>-2</v>
      </c>
      <c r="E6" s="2">
        <v>5.8</v>
      </c>
      <c r="F6" s="2">
        <v>11.3</v>
      </c>
      <c r="G6" s="2">
        <v>14.4</v>
      </c>
      <c r="H6" s="2">
        <v>14.1</v>
      </c>
      <c r="I6" s="2">
        <v>14.6</v>
      </c>
      <c r="J6" s="2">
        <v>8</v>
      </c>
      <c r="K6" s="2">
        <v>7.1</v>
      </c>
      <c r="L6" s="2">
        <v>4.4000000000000004</v>
      </c>
      <c r="M6" s="2">
        <v>-3.2</v>
      </c>
      <c r="O6">
        <v>1996</v>
      </c>
      <c r="P6">
        <v>63.8</v>
      </c>
      <c r="Q6">
        <v>54.9</v>
      </c>
      <c r="R6">
        <v>16.8</v>
      </c>
      <c r="S6">
        <v>134.5</v>
      </c>
      <c r="T6">
        <v>114.5</v>
      </c>
      <c r="U6">
        <v>79.099999999999994</v>
      </c>
      <c r="V6">
        <v>83.4</v>
      </c>
      <c r="W6">
        <v>210.3</v>
      </c>
      <c r="X6">
        <v>212.2</v>
      </c>
      <c r="Y6">
        <v>97.7</v>
      </c>
      <c r="Z6">
        <v>183.1</v>
      </c>
      <c r="AA6">
        <v>85</v>
      </c>
    </row>
    <row r="7" spans="1:27" x14ac:dyDescent="0.25">
      <c r="A7">
        <v>1997</v>
      </c>
      <c r="B7" s="2">
        <v>-1.3</v>
      </c>
      <c r="C7" s="2">
        <v>1.1000000000000001</v>
      </c>
      <c r="D7" s="2">
        <v>2.5</v>
      </c>
      <c r="E7" s="2">
        <v>2.5</v>
      </c>
      <c r="F7" s="2">
        <v>11.5</v>
      </c>
      <c r="G7" s="2">
        <v>14.4</v>
      </c>
      <c r="H7" s="2">
        <v>14.9</v>
      </c>
      <c r="I7" s="2">
        <v>15.6</v>
      </c>
      <c r="J7" s="2">
        <v>12.2</v>
      </c>
      <c r="K7" s="2">
        <v>5</v>
      </c>
      <c r="L7" s="2">
        <v>2.9</v>
      </c>
      <c r="M7" s="2">
        <v>-0.3</v>
      </c>
      <c r="O7">
        <v>1997</v>
      </c>
      <c r="P7">
        <v>64.400000000000006</v>
      </c>
      <c r="Q7">
        <v>44.7</v>
      </c>
      <c r="R7">
        <v>37.799999999999997</v>
      </c>
      <c r="S7">
        <v>115.7</v>
      </c>
      <c r="T7">
        <v>104.5</v>
      </c>
      <c r="U7">
        <v>109.3</v>
      </c>
      <c r="V7">
        <v>100.2</v>
      </c>
      <c r="W7">
        <v>72.599999999999994</v>
      </c>
      <c r="X7">
        <v>28.6</v>
      </c>
      <c r="Y7">
        <v>63.3</v>
      </c>
      <c r="Z7">
        <v>153.9</v>
      </c>
      <c r="AA7">
        <v>175.4</v>
      </c>
    </row>
    <row r="8" spans="1:27" x14ac:dyDescent="0.25">
      <c r="A8">
        <v>1998</v>
      </c>
      <c r="B8" s="2">
        <v>0</v>
      </c>
      <c r="C8" s="2">
        <v>3.3</v>
      </c>
      <c r="D8" s="2">
        <v>-0.2</v>
      </c>
      <c r="E8" s="2">
        <v>7</v>
      </c>
      <c r="F8" s="2">
        <v>10.6</v>
      </c>
      <c r="G8" s="2">
        <v>15.1</v>
      </c>
      <c r="H8" s="2">
        <v>16.3</v>
      </c>
      <c r="I8" s="2">
        <v>16.5</v>
      </c>
      <c r="J8" s="2">
        <v>11</v>
      </c>
      <c r="K8" s="2">
        <v>8</v>
      </c>
      <c r="L8" s="2">
        <v>-0.5</v>
      </c>
      <c r="M8" s="2">
        <v>-2.7</v>
      </c>
      <c r="O8">
        <v>1998</v>
      </c>
      <c r="P8">
        <v>42.2</v>
      </c>
      <c r="Q8">
        <v>2.1</v>
      </c>
      <c r="R8">
        <v>107</v>
      </c>
      <c r="S8">
        <v>84.5</v>
      </c>
      <c r="T8">
        <v>131.5</v>
      </c>
      <c r="U8">
        <v>139.80000000000001</v>
      </c>
      <c r="V8">
        <v>133.19999999999999</v>
      </c>
      <c r="W8">
        <v>113.9</v>
      </c>
      <c r="X8">
        <v>228</v>
      </c>
      <c r="Y8">
        <v>159.80000000000001</v>
      </c>
      <c r="Z8">
        <v>135</v>
      </c>
      <c r="AA8">
        <v>70.7</v>
      </c>
    </row>
    <row r="9" spans="1:27" x14ac:dyDescent="0.25">
      <c r="A9">
        <v>1999</v>
      </c>
      <c r="B9" s="2">
        <v>0.3</v>
      </c>
      <c r="C9" s="2">
        <v>-2.8</v>
      </c>
      <c r="D9" s="2">
        <v>2.7</v>
      </c>
      <c r="E9" s="2">
        <v>6.9</v>
      </c>
      <c r="F9" s="2">
        <v>11.4</v>
      </c>
      <c r="G9" s="2">
        <v>13.9</v>
      </c>
      <c r="H9" s="2">
        <v>15.9</v>
      </c>
      <c r="I9" s="2">
        <v>15.6</v>
      </c>
      <c r="J9" s="2">
        <v>14</v>
      </c>
      <c r="K9" s="2">
        <v>8</v>
      </c>
      <c r="L9" s="2">
        <v>0.6</v>
      </c>
      <c r="M9" s="2">
        <v>-1.9</v>
      </c>
      <c r="O9">
        <v>1999</v>
      </c>
      <c r="P9">
        <v>48.9</v>
      </c>
      <c r="Q9">
        <v>137.69999999999999</v>
      </c>
      <c r="R9">
        <v>59.1</v>
      </c>
      <c r="S9">
        <v>103.1</v>
      </c>
      <c r="T9">
        <v>153.19999999999999</v>
      </c>
      <c r="U9">
        <v>111.4</v>
      </c>
      <c r="V9">
        <v>139.6</v>
      </c>
      <c r="W9">
        <v>93.2</v>
      </c>
      <c r="X9">
        <v>98.2</v>
      </c>
      <c r="Y9">
        <v>122.3</v>
      </c>
      <c r="Z9">
        <v>130.1</v>
      </c>
      <c r="AA9">
        <v>157</v>
      </c>
    </row>
    <row r="10" spans="1:27" x14ac:dyDescent="0.25">
      <c r="A10">
        <v>2000</v>
      </c>
      <c r="B10" s="2">
        <v>-3.3</v>
      </c>
      <c r="C10" s="2">
        <v>0.5</v>
      </c>
      <c r="D10" s="2">
        <v>2</v>
      </c>
      <c r="E10" s="2">
        <v>9.3000000000000007</v>
      </c>
      <c r="F10" s="2">
        <v>12.6</v>
      </c>
      <c r="G10" s="2">
        <v>15.9</v>
      </c>
      <c r="H10" s="2">
        <v>14.9</v>
      </c>
      <c r="I10" s="2">
        <v>18.600000000000001</v>
      </c>
      <c r="J10" s="2">
        <v>12.1</v>
      </c>
      <c r="K10" s="2">
        <v>9.6</v>
      </c>
      <c r="L10" s="2">
        <v>5.9</v>
      </c>
      <c r="M10" s="2">
        <v>2.2999999999999998</v>
      </c>
      <c r="O10">
        <v>2000</v>
      </c>
      <c r="P10">
        <v>22.8</v>
      </c>
      <c r="Q10">
        <v>48.7</v>
      </c>
      <c r="R10">
        <v>79.400000000000006</v>
      </c>
      <c r="S10">
        <v>51.6</v>
      </c>
      <c r="T10">
        <v>52.4</v>
      </c>
      <c r="U10">
        <v>70.400000000000006</v>
      </c>
      <c r="V10">
        <v>140.6</v>
      </c>
      <c r="W10">
        <v>0.5</v>
      </c>
      <c r="X10">
        <v>111.2</v>
      </c>
      <c r="Y10">
        <v>132.6</v>
      </c>
      <c r="Z10">
        <v>141.19999999999999</v>
      </c>
      <c r="AA10">
        <v>144.19999999999999</v>
      </c>
    </row>
    <row r="11" spans="1:27" x14ac:dyDescent="0.25">
      <c r="A11">
        <v>2001</v>
      </c>
      <c r="B11" s="2">
        <v>-0.7</v>
      </c>
      <c r="C11" s="2">
        <v>-0.3</v>
      </c>
      <c r="D11" s="2">
        <v>4.8</v>
      </c>
      <c r="E11" s="2">
        <v>5.4</v>
      </c>
      <c r="F11" s="2">
        <v>12.4</v>
      </c>
      <c r="G11" s="2">
        <v>13</v>
      </c>
      <c r="H11" s="2">
        <v>16.5</v>
      </c>
      <c r="I11" s="2">
        <v>17.600000000000001</v>
      </c>
      <c r="J11" s="2">
        <v>9.6999999999999993</v>
      </c>
      <c r="K11" s="2">
        <v>11.1</v>
      </c>
      <c r="L11" s="2">
        <v>0.3</v>
      </c>
      <c r="M11" s="2">
        <v>-5.5</v>
      </c>
      <c r="O11">
        <v>2001</v>
      </c>
      <c r="P11">
        <v>160.4</v>
      </c>
      <c r="Q11">
        <v>33.4</v>
      </c>
      <c r="R11">
        <v>126.5</v>
      </c>
      <c r="S11">
        <v>133.30000000000001</v>
      </c>
      <c r="T11">
        <v>68.7</v>
      </c>
      <c r="U11">
        <v>189.8</v>
      </c>
      <c r="V11">
        <v>87.4</v>
      </c>
      <c r="W11">
        <v>22.2</v>
      </c>
      <c r="X11">
        <v>253.5</v>
      </c>
      <c r="Y11">
        <v>24.7</v>
      </c>
      <c r="Z11">
        <v>171.2</v>
      </c>
      <c r="AA11">
        <v>64.400000000000006</v>
      </c>
    </row>
    <row r="12" spans="1:27" x14ac:dyDescent="0.25">
      <c r="A12">
        <v>2002</v>
      </c>
      <c r="B12" s="6">
        <v>-1.7</v>
      </c>
      <c r="C12" s="6">
        <v>2.6</v>
      </c>
      <c r="D12" s="6">
        <v>4.4000000000000004</v>
      </c>
      <c r="E12" s="6">
        <v>5.3</v>
      </c>
      <c r="F12" s="6">
        <v>16.61</v>
      </c>
      <c r="G12" s="6">
        <v>15.8</v>
      </c>
      <c r="H12" s="6">
        <v>16.600000000000001</v>
      </c>
      <c r="I12" s="6">
        <v>15.8</v>
      </c>
      <c r="J12" s="6">
        <v>10.4</v>
      </c>
      <c r="K12" s="6">
        <v>7.7</v>
      </c>
      <c r="L12" s="6">
        <v>6</v>
      </c>
      <c r="M12" s="6">
        <v>-1.6</v>
      </c>
      <c r="O12">
        <v>2002</v>
      </c>
      <c r="P12" s="12">
        <v>22</v>
      </c>
      <c r="Q12" s="12">
        <v>60</v>
      </c>
      <c r="R12" s="12">
        <v>40</v>
      </c>
      <c r="S12" s="12">
        <v>195</v>
      </c>
      <c r="T12" s="12">
        <v>101.1</v>
      </c>
      <c r="U12" s="12">
        <v>81</v>
      </c>
      <c r="V12" s="12">
        <v>114</v>
      </c>
      <c r="W12" s="12">
        <v>210</v>
      </c>
      <c r="X12" s="12">
        <v>115</v>
      </c>
      <c r="Y12" s="12">
        <v>133</v>
      </c>
      <c r="Z12" s="12">
        <v>84</v>
      </c>
      <c r="AA12" s="12">
        <v>86</v>
      </c>
    </row>
    <row r="13" spans="1:27" x14ac:dyDescent="0.25">
      <c r="A13">
        <v>2003</v>
      </c>
      <c r="B13" s="6">
        <v>-2.9</v>
      </c>
      <c r="C13" s="6">
        <v>-5.7</v>
      </c>
      <c r="D13" s="6">
        <v>2.7</v>
      </c>
      <c r="E13" s="6">
        <v>5.4</v>
      </c>
      <c r="F13" s="6">
        <v>14.4</v>
      </c>
      <c r="G13" s="6">
        <v>18.5</v>
      </c>
      <c r="H13" s="6">
        <v>17.2</v>
      </c>
      <c r="I13" s="6">
        <v>20.2</v>
      </c>
      <c r="J13" s="6">
        <v>11.6</v>
      </c>
      <c r="K13" s="6">
        <v>4.7</v>
      </c>
      <c r="L13" s="6">
        <v>5</v>
      </c>
      <c r="M13" s="6">
        <v>-0.3</v>
      </c>
      <c r="O13">
        <v>2003</v>
      </c>
      <c r="P13" s="21">
        <v>115.1</v>
      </c>
      <c r="Q13" s="14">
        <v>71.3</v>
      </c>
      <c r="R13" s="14">
        <v>16.100000000000001</v>
      </c>
      <c r="S13" s="14">
        <v>43.9</v>
      </c>
      <c r="T13" s="14">
        <v>26.4</v>
      </c>
      <c r="U13" s="14">
        <v>37.299999999999997</v>
      </c>
      <c r="V13" s="29" t="s">
        <v>84</v>
      </c>
      <c r="W13" s="14">
        <v>49.7</v>
      </c>
      <c r="X13" s="14">
        <v>140.5</v>
      </c>
      <c r="Y13" s="14">
        <v>160.4</v>
      </c>
      <c r="Z13" s="14">
        <v>86.4</v>
      </c>
      <c r="AA13" s="14">
        <v>34.700000000000003</v>
      </c>
    </row>
    <row r="14" spans="1:27" x14ac:dyDescent="0.25">
      <c r="A14">
        <v>2004</v>
      </c>
      <c r="B14" s="7">
        <v>-4.3</v>
      </c>
      <c r="C14" s="7">
        <v>-0.6</v>
      </c>
      <c r="D14" s="7">
        <v>0.2</v>
      </c>
      <c r="E14" s="7">
        <v>6.1</v>
      </c>
      <c r="F14" s="7">
        <v>9</v>
      </c>
      <c r="G14" s="7">
        <v>13.6</v>
      </c>
      <c r="H14" s="7">
        <v>15.7</v>
      </c>
      <c r="I14" s="7">
        <v>16.100000000000001</v>
      </c>
      <c r="J14" s="7">
        <v>11.3</v>
      </c>
      <c r="K14" s="7">
        <v>9.6999999999999993</v>
      </c>
      <c r="L14" s="7">
        <v>2.6</v>
      </c>
      <c r="M14" s="7">
        <v>-0.1</v>
      </c>
      <c r="O14">
        <v>2004</v>
      </c>
      <c r="P14">
        <v>85</v>
      </c>
      <c r="Q14">
        <v>93.4</v>
      </c>
      <c r="R14">
        <v>110.1</v>
      </c>
      <c r="S14">
        <v>161.30000000000001</v>
      </c>
      <c r="T14">
        <v>88.9</v>
      </c>
      <c r="U14">
        <v>129.30000000000001</v>
      </c>
      <c r="V14">
        <v>103</v>
      </c>
      <c r="W14">
        <v>93.9</v>
      </c>
      <c r="X14">
        <v>72.7</v>
      </c>
      <c r="Y14">
        <v>201.4</v>
      </c>
      <c r="Z14">
        <v>81.099999999999994</v>
      </c>
      <c r="AA14">
        <v>63.4</v>
      </c>
    </row>
    <row r="15" spans="1:27" x14ac:dyDescent="0.25">
      <c r="A15">
        <v>2005</v>
      </c>
      <c r="B15" s="7">
        <v>-2.2000000000000002</v>
      </c>
      <c r="C15" s="7">
        <v>-5.6</v>
      </c>
      <c r="D15" s="7">
        <v>0.5</v>
      </c>
      <c r="E15" s="7">
        <v>6.1</v>
      </c>
      <c r="F15" s="7">
        <v>11.4</v>
      </c>
      <c r="G15" s="7">
        <v>14.2</v>
      </c>
      <c r="H15" s="7">
        <v>16</v>
      </c>
      <c r="I15" s="7">
        <v>13.6</v>
      </c>
      <c r="J15" s="7">
        <v>12</v>
      </c>
      <c r="K15" s="7">
        <v>8</v>
      </c>
      <c r="L15" s="7">
        <v>2</v>
      </c>
      <c r="M15" s="7">
        <v>-2.7</v>
      </c>
      <c r="O15">
        <v>2005</v>
      </c>
      <c r="P15">
        <v>68</v>
      </c>
      <c r="Q15">
        <v>130.9</v>
      </c>
      <c r="R15">
        <v>71.099999999999994</v>
      </c>
      <c r="S15">
        <v>109.7</v>
      </c>
      <c r="T15">
        <v>92.4</v>
      </c>
      <c r="U15">
        <v>57.1</v>
      </c>
      <c r="V15">
        <v>239.8</v>
      </c>
      <c r="W15">
        <v>224</v>
      </c>
      <c r="X15">
        <v>134.80000000000001</v>
      </c>
      <c r="Y15">
        <v>36</v>
      </c>
      <c r="Z15">
        <v>102.2</v>
      </c>
      <c r="AA15">
        <v>172.6</v>
      </c>
    </row>
    <row r="16" spans="1:27" x14ac:dyDescent="0.25">
      <c r="A16">
        <v>2006</v>
      </c>
      <c r="B16" s="7">
        <v>-4.5</v>
      </c>
      <c r="C16" s="7">
        <v>-2.5</v>
      </c>
      <c r="D16" s="7">
        <v>-0.5</v>
      </c>
      <c r="E16" s="7">
        <v>7.2</v>
      </c>
      <c r="F16" s="7">
        <v>10.8</v>
      </c>
      <c r="G16" s="7">
        <v>14.7</v>
      </c>
      <c r="H16" s="7">
        <v>18.399999999999999</v>
      </c>
      <c r="I16" s="7">
        <v>13.6</v>
      </c>
      <c r="J16" s="7">
        <v>13.6</v>
      </c>
      <c r="K16" s="7">
        <v>10</v>
      </c>
      <c r="L16" s="7">
        <v>5</v>
      </c>
      <c r="M16" s="7">
        <v>1.9</v>
      </c>
      <c r="O16">
        <v>2006</v>
      </c>
      <c r="P16">
        <v>54.9</v>
      </c>
      <c r="Q16">
        <v>75.2</v>
      </c>
      <c r="R16">
        <v>111.4</v>
      </c>
      <c r="S16">
        <v>162.80000000000001</v>
      </c>
      <c r="T16">
        <v>131.5</v>
      </c>
      <c r="U16">
        <v>76.3</v>
      </c>
      <c r="V16">
        <v>102.6</v>
      </c>
      <c r="W16">
        <v>237.4</v>
      </c>
      <c r="X16">
        <v>90.8</v>
      </c>
      <c r="Y16">
        <v>10.5</v>
      </c>
      <c r="Z16">
        <v>80.400000000000006</v>
      </c>
      <c r="AA16">
        <v>57.6</v>
      </c>
    </row>
    <row r="17" spans="1:27" x14ac:dyDescent="0.25">
      <c r="A17">
        <v>2007</v>
      </c>
      <c r="B17" s="7">
        <v>2.2999999999999998</v>
      </c>
      <c r="C17" s="7">
        <v>2.4</v>
      </c>
      <c r="D17" s="7">
        <v>3.6</v>
      </c>
      <c r="E17" s="7">
        <v>9.8000000000000007</v>
      </c>
      <c r="F17" s="7">
        <v>12.6</v>
      </c>
      <c r="G17" s="7">
        <v>16.2</v>
      </c>
      <c r="H17" s="7">
        <v>17.7</v>
      </c>
      <c r="I17" s="7">
        <v>16.2</v>
      </c>
      <c r="J17" s="7">
        <v>10</v>
      </c>
      <c r="K17" s="7">
        <v>5.9</v>
      </c>
      <c r="L17" s="7">
        <v>0.8</v>
      </c>
      <c r="M17" s="7">
        <v>-1.7</v>
      </c>
      <c r="O17">
        <v>2007</v>
      </c>
      <c r="P17">
        <v>56.7</v>
      </c>
      <c r="Q17">
        <v>65.099999999999994</v>
      </c>
      <c r="R17">
        <v>111.2</v>
      </c>
      <c r="S17">
        <v>8.8000000000000007</v>
      </c>
      <c r="T17">
        <v>131.30000000000001</v>
      </c>
      <c r="U17">
        <v>112.2</v>
      </c>
      <c r="V17">
        <v>101.7</v>
      </c>
      <c r="W17">
        <v>107.4</v>
      </c>
      <c r="X17">
        <v>210.2</v>
      </c>
      <c r="Y17">
        <v>235.9</v>
      </c>
      <c r="Z17">
        <v>108.9</v>
      </c>
      <c r="AA17">
        <v>132.6</v>
      </c>
    </row>
    <row r="18" spans="1:27" x14ac:dyDescent="0.25">
      <c r="A18">
        <v>2008</v>
      </c>
      <c r="B18" s="7">
        <v>1.4</v>
      </c>
      <c r="C18" s="7">
        <v>1.4</v>
      </c>
      <c r="D18" s="7">
        <v>1.9</v>
      </c>
      <c r="E18" s="7">
        <v>6.5</v>
      </c>
      <c r="F18" s="7">
        <v>12.2</v>
      </c>
      <c r="G18" s="7">
        <v>15.5</v>
      </c>
      <c r="H18" s="7">
        <v>16.399999999999999</v>
      </c>
      <c r="I18" s="7">
        <v>16.600000000000001</v>
      </c>
      <c r="J18" s="7">
        <v>10.3</v>
      </c>
      <c r="K18" s="7">
        <v>9.1</v>
      </c>
      <c r="L18" s="7">
        <v>4</v>
      </c>
      <c r="M18" s="7">
        <v>-1.1000000000000001</v>
      </c>
      <c r="O18">
        <v>2008</v>
      </c>
      <c r="P18">
        <v>19.399999999999999</v>
      </c>
      <c r="Q18">
        <v>18.3</v>
      </c>
      <c r="R18">
        <v>190.6</v>
      </c>
      <c r="S18">
        <v>55.1</v>
      </c>
      <c r="T18">
        <v>68</v>
      </c>
      <c r="U18">
        <v>186.2</v>
      </c>
      <c r="V18">
        <v>126.8</v>
      </c>
      <c r="W18">
        <v>106.1</v>
      </c>
      <c r="X18">
        <v>85.8</v>
      </c>
      <c r="Y18">
        <v>78</v>
      </c>
      <c r="Z18">
        <v>91.7</v>
      </c>
      <c r="AA18">
        <v>123.4</v>
      </c>
    </row>
    <row r="19" spans="1:27" x14ac:dyDescent="0.25">
      <c r="A19">
        <v>2009</v>
      </c>
      <c r="B19" s="7">
        <v>-3.6</v>
      </c>
      <c r="C19" s="7">
        <v>-2</v>
      </c>
      <c r="D19" s="7">
        <v>1.6</v>
      </c>
      <c r="E19" s="7">
        <v>9.6999999999999993</v>
      </c>
      <c r="F19" s="7">
        <v>12.8</v>
      </c>
      <c r="G19" s="7">
        <v>13.6</v>
      </c>
      <c r="H19" s="7">
        <v>16.899999999999999</v>
      </c>
      <c r="I19" s="7">
        <v>17.3</v>
      </c>
      <c r="J19" s="7">
        <v>13.7</v>
      </c>
      <c r="K19" s="7">
        <v>6.7</v>
      </c>
      <c r="L19" s="7">
        <v>5.2</v>
      </c>
      <c r="M19" s="7">
        <v>-1.2</v>
      </c>
      <c r="O19">
        <v>2009</v>
      </c>
      <c r="P19">
        <v>146.4</v>
      </c>
      <c r="Q19">
        <v>71.3</v>
      </c>
      <c r="R19">
        <v>78.099999999999994</v>
      </c>
      <c r="S19">
        <v>61.1</v>
      </c>
      <c r="T19">
        <v>59.4</v>
      </c>
      <c r="U19">
        <v>85.2</v>
      </c>
      <c r="V19">
        <v>98.9</v>
      </c>
      <c r="W19">
        <v>113.7</v>
      </c>
      <c r="X19">
        <v>23.9</v>
      </c>
      <c r="Y19">
        <v>96</v>
      </c>
      <c r="Z19">
        <v>107.7</v>
      </c>
      <c r="AA19">
        <v>124.7</v>
      </c>
    </row>
    <row r="20" spans="1:27" x14ac:dyDescent="0.25">
      <c r="A20">
        <v>2010</v>
      </c>
      <c r="B20" s="7">
        <v>-4.8</v>
      </c>
      <c r="C20" s="7">
        <v>-1.9</v>
      </c>
      <c r="D20" s="7">
        <v>1</v>
      </c>
      <c r="E20" s="7">
        <v>6.6</v>
      </c>
      <c r="F20" s="7">
        <v>10.1</v>
      </c>
      <c r="G20" s="7">
        <v>14.6</v>
      </c>
      <c r="H20" s="7">
        <v>17.600000000000001</v>
      </c>
      <c r="I20" s="7">
        <v>15.6</v>
      </c>
      <c r="J20" s="7">
        <v>10.199999999999999</v>
      </c>
      <c r="K20" s="7">
        <v>5</v>
      </c>
      <c r="L20" s="7">
        <v>4.5999999999999996</v>
      </c>
      <c r="M20" s="7">
        <v>-2.7</v>
      </c>
      <c r="O20">
        <v>2010</v>
      </c>
      <c r="P20">
        <v>97.6</v>
      </c>
      <c r="Q20">
        <v>148</v>
      </c>
      <c r="R20">
        <v>94.5</v>
      </c>
      <c r="S20">
        <v>85.2</v>
      </c>
      <c r="T20">
        <v>179</v>
      </c>
      <c r="U20">
        <v>142.6</v>
      </c>
      <c r="V20">
        <v>99.2</v>
      </c>
      <c r="W20">
        <v>176.5</v>
      </c>
      <c r="X20">
        <v>267</v>
      </c>
      <c r="Y20">
        <v>79.3</v>
      </c>
      <c r="Z20">
        <v>175.2</v>
      </c>
      <c r="AA20">
        <v>94.2</v>
      </c>
    </row>
    <row r="21" spans="1:27" x14ac:dyDescent="0.25">
      <c r="A21">
        <v>2011</v>
      </c>
      <c r="B21" s="7">
        <v>-1.3</v>
      </c>
      <c r="C21" s="7">
        <v>-1.8</v>
      </c>
      <c r="D21" s="7">
        <v>2.2999999999999998</v>
      </c>
      <c r="E21" s="7">
        <v>8.6</v>
      </c>
      <c r="F21" s="7">
        <v>11.5</v>
      </c>
      <c r="G21" s="7">
        <v>14.9</v>
      </c>
      <c r="H21" s="7">
        <v>16.2</v>
      </c>
      <c r="I21" s="7">
        <v>18.100000000000001</v>
      </c>
      <c r="J21" s="7">
        <v>15.4</v>
      </c>
      <c r="K21" s="7">
        <v>6.7</v>
      </c>
      <c r="L21" s="7">
        <v>3.7</v>
      </c>
      <c r="M21" s="7">
        <v>1</v>
      </c>
      <c r="O21">
        <v>2011</v>
      </c>
      <c r="P21">
        <v>27.3</v>
      </c>
      <c r="Q21">
        <v>14.7</v>
      </c>
      <c r="R21">
        <v>48.6</v>
      </c>
      <c r="S21">
        <v>70</v>
      </c>
      <c r="T21">
        <v>71</v>
      </c>
      <c r="U21">
        <v>102</v>
      </c>
      <c r="V21">
        <v>136.80000000000001</v>
      </c>
      <c r="W21">
        <v>24.7</v>
      </c>
      <c r="X21">
        <v>59.7</v>
      </c>
      <c r="Y21">
        <v>104.6</v>
      </c>
      <c r="Z21">
        <v>0</v>
      </c>
      <c r="AA21">
        <v>104.1</v>
      </c>
    </row>
    <row r="22" spans="1:27" x14ac:dyDescent="0.25">
      <c r="A22">
        <v>2012</v>
      </c>
      <c r="B22" s="7">
        <v>-2.2999999999999998</v>
      </c>
      <c r="C22" s="7">
        <v>-6.5</v>
      </c>
      <c r="D22" s="7">
        <v>5.4</v>
      </c>
      <c r="E22" s="7">
        <v>6.7</v>
      </c>
      <c r="F22" s="7">
        <v>11.2</v>
      </c>
      <c r="G22" s="7">
        <v>16.399999999999999</v>
      </c>
      <c r="H22" s="7">
        <v>18</v>
      </c>
      <c r="I22" s="7">
        <v>19.2</v>
      </c>
      <c r="J22" s="7">
        <v>13.4</v>
      </c>
      <c r="K22" s="7">
        <v>8.4</v>
      </c>
      <c r="L22" s="7">
        <v>5.0999999999999996</v>
      </c>
      <c r="M22" s="7">
        <v>-1.7</v>
      </c>
      <c r="O22">
        <v>2012</v>
      </c>
      <c r="P22">
        <v>29.2</v>
      </c>
      <c r="Q22">
        <v>67.900000000000006</v>
      </c>
      <c r="R22">
        <v>3.2</v>
      </c>
      <c r="S22">
        <v>76.3</v>
      </c>
      <c r="T22">
        <v>128.69999999999999</v>
      </c>
      <c r="U22">
        <v>131.80000000000001</v>
      </c>
      <c r="V22">
        <v>77.8</v>
      </c>
      <c r="W22">
        <v>20.399999999999999</v>
      </c>
      <c r="X22">
        <v>151.30000000000001</v>
      </c>
      <c r="Y22">
        <v>125.1</v>
      </c>
      <c r="Z22">
        <v>111.7</v>
      </c>
      <c r="AA22">
        <v>111.9</v>
      </c>
    </row>
    <row r="23" spans="1:27" x14ac:dyDescent="0.25">
      <c r="A23">
        <v>2013</v>
      </c>
      <c r="B23" s="7">
        <v>-1.2</v>
      </c>
      <c r="C23" s="7">
        <v>-3.4</v>
      </c>
      <c r="D23" s="7">
        <v>-0.7</v>
      </c>
      <c r="E23" s="7">
        <v>7.4</v>
      </c>
      <c r="F23" s="7">
        <v>10.199999999999999</v>
      </c>
      <c r="G23" s="7">
        <v>14.2</v>
      </c>
      <c r="H23" s="7">
        <v>17.8</v>
      </c>
      <c r="I23" s="7">
        <v>17.600000000000001</v>
      </c>
      <c r="J23" s="7">
        <v>11.3</v>
      </c>
      <c r="K23" s="7">
        <v>9.1999999999999993</v>
      </c>
      <c r="L23" s="7">
        <v>3</v>
      </c>
      <c r="M23" s="7">
        <v>2.2999999999999998</v>
      </c>
      <c r="O23">
        <v>2013</v>
      </c>
      <c r="P23">
        <v>185.9</v>
      </c>
      <c r="Q23">
        <v>188.9</v>
      </c>
      <c r="R23">
        <v>158.9</v>
      </c>
      <c r="S23">
        <v>87.4</v>
      </c>
      <c r="T23">
        <v>146.80000000000001</v>
      </c>
      <c r="U23">
        <v>85.2</v>
      </c>
      <c r="V23">
        <v>28.9</v>
      </c>
      <c r="W23">
        <v>129.5</v>
      </c>
      <c r="X23">
        <v>157</v>
      </c>
      <c r="Y23">
        <v>27.5</v>
      </c>
      <c r="Z23">
        <v>221.9</v>
      </c>
      <c r="AA23">
        <v>23.4</v>
      </c>
    </row>
    <row r="24" spans="1:27" x14ac:dyDescent="0.25">
      <c r="A24">
        <v>2014</v>
      </c>
      <c r="B24" s="7">
        <v>1.7</v>
      </c>
      <c r="C24" s="7">
        <v>1.2</v>
      </c>
      <c r="D24" s="7">
        <v>5.5</v>
      </c>
      <c r="E24" s="7">
        <v>7.8</v>
      </c>
      <c r="F24" s="7">
        <v>9.8000000000000007</v>
      </c>
      <c r="G24" s="7">
        <v>14.6</v>
      </c>
      <c r="H24" s="7">
        <v>16.2</v>
      </c>
      <c r="I24" s="7">
        <v>14.8</v>
      </c>
      <c r="J24" s="7">
        <v>11.4</v>
      </c>
      <c r="K24" s="7">
        <v>9.1999999999999993</v>
      </c>
      <c r="L24" s="7">
        <v>5.9</v>
      </c>
      <c r="M24" s="7">
        <v>-0.1</v>
      </c>
      <c r="O24">
        <v>2014</v>
      </c>
      <c r="P24">
        <v>88.6</v>
      </c>
      <c r="Q24">
        <v>182.6</v>
      </c>
      <c r="R24">
        <v>19.2</v>
      </c>
      <c r="S24">
        <v>112.1</v>
      </c>
      <c r="T24">
        <v>134.4</v>
      </c>
      <c r="U24">
        <v>179.7</v>
      </c>
      <c r="V24">
        <v>180</v>
      </c>
      <c r="W24">
        <v>149.30000000000001</v>
      </c>
      <c r="X24">
        <v>252</v>
      </c>
      <c r="Y24">
        <v>151.69999999999999</v>
      </c>
      <c r="Z24">
        <v>92</v>
      </c>
      <c r="AA24">
        <v>91.6</v>
      </c>
    </row>
    <row r="25" spans="1:27" x14ac:dyDescent="0.25">
      <c r="A25">
        <v>2015</v>
      </c>
      <c r="B25" s="7">
        <v>-0.3</v>
      </c>
      <c r="C25" s="7">
        <v>-0.2</v>
      </c>
      <c r="D25" s="7">
        <v>2.1</v>
      </c>
      <c r="E25" s="7">
        <v>6.5</v>
      </c>
      <c r="F25" s="7">
        <v>12</v>
      </c>
      <c r="G25" s="7">
        <v>15.5</v>
      </c>
      <c r="H25" s="7">
        <v>19.3</v>
      </c>
      <c r="I25" s="7">
        <v>18.600000000000001</v>
      </c>
      <c r="J25" s="7">
        <v>12.3</v>
      </c>
      <c r="K25" s="7">
        <v>7.4</v>
      </c>
      <c r="L25" s="7">
        <v>6.4</v>
      </c>
      <c r="M25" s="7">
        <v>4.4000000000000004</v>
      </c>
      <c r="O25">
        <v>2015</v>
      </c>
      <c r="P25">
        <v>107.8</v>
      </c>
      <c r="Q25">
        <v>172</v>
      </c>
      <c r="R25">
        <v>41.5</v>
      </c>
      <c r="S25">
        <v>34</v>
      </c>
      <c r="T25">
        <v>153</v>
      </c>
      <c r="U25">
        <v>67.400000000000006</v>
      </c>
      <c r="V25">
        <v>141.80000000000001</v>
      </c>
      <c r="W25">
        <v>140.80000000000001</v>
      </c>
      <c r="X25">
        <v>118.8</v>
      </c>
      <c r="Y25">
        <v>288.10000000000002</v>
      </c>
      <c r="Z25">
        <v>55.7</v>
      </c>
      <c r="AA25">
        <v>0.4</v>
      </c>
    </row>
    <row r="26" spans="1:27" x14ac:dyDescent="0.25">
      <c r="A26">
        <v>2016</v>
      </c>
      <c r="B26" s="7">
        <v>-0.2</v>
      </c>
      <c r="C26" s="7">
        <v>1.9</v>
      </c>
      <c r="D26" s="7">
        <v>2.1</v>
      </c>
      <c r="E26" s="7">
        <v>7.9</v>
      </c>
      <c r="F26" s="7">
        <v>10.6</v>
      </c>
      <c r="G26" s="7">
        <v>15.2</v>
      </c>
      <c r="H26" s="7">
        <v>17.8</v>
      </c>
      <c r="I26" s="7">
        <v>15.5</v>
      </c>
      <c r="J26" s="7">
        <v>14.2</v>
      </c>
      <c r="K26" s="7">
        <v>6.2</v>
      </c>
      <c r="L26" s="7">
        <v>3.3</v>
      </c>
      <c r="M26" s="7">
        <v>1.2</v>
      </c>
      <c r="O26">
        <v>2016</v>
      </c>
      <c r="P26" s="7">
        <v>92.5</v>
      </c>
      <c r="Q26" s="7">
        <v>168.8</v>
      </c>
      <c r="R26" s="7">
        <v>96.5</v>
      </c>
      <c r="S26" s="7">
        <v>67.599999999999994</v>
      </c>
      <c r="T26" s="7">
        <v>134.19999999999999</v>
      </c>
      <c r="U26" s="7">
        <v>160.69999999999999</v>
      </c>
      <c r="V26" s="7">
        <v>61.2</v>
      </c>
      <c r="W26" s="7">
        <v>95.3</v>
      </c>
      <c r="X26" s="7">
        <v>63.4</v>
      </c>
      <c r="Y26" s="7">
        <v>124.3</v>
      </c>
      <c r="Z26" s="7">
        <v>167.9</v>
      </c>
      <c r="AA26" s="7">
        <v>5</v>
      </c>
    </row>
    <row r="27" spans="1:27" x14ac:dyDescent="0.25">
      <c r="A27">
        <v>2017</v>
      </c>
      <c r="B27" s="7">
        <v>-5.8</v>
      </c>
      <c r="C27" s="7">
        <v>1</v>
      </c>
      <c r="D27" s="7">
        <v>5.7</v>
      </c>
      <c r="E27" s="7">
        <v>6.5</v>
      </c>
      <c r="F27" s="7">
        <v>12</v>
      </c>
      <c r="G27" s="7">
        <v>17.2</v>
      </c>
      <c r="H27" s="7">
        <v>18.5</v>
      </c>
      <c r="I27" s="7">
        <v>19.2</v>
      </c>
      <c r="J27" s="7">
        <v>10.3</v>
      </c>
      <c r="K27" s="7">
        <v>9.1999999999999993</v>
      </c>
      <c r="L27" s="7">
        <v>2.5</v>
      </c>
      <c r="M27" s="7">
        <v>-0.3</v>
      </c>
      <c r="O27">
        <v>2017</v>
      </c>
      <c r="P27" s="7">
        <v>61.2</v>
      </c>
      <c r="Q27" s="7">
        <v>84.8</v>
      </c>
      <c r="R27" s="7">
        <v>25.6</v>
      </c>
      <c r="S27" s="7">
        <v>64.2</v>
      </c>
      <c r="T27" s="7">
        <v>82.9</v>
      </c>
      <c r="U27" s="7">
        <v>124.1</v>
      </c>
      <c r="V27" s="7">
        <v>106.2</v>
      </c>
      <c r="W27" s="7">
        <v>53.9</v>
      </c>
      <c r="X27" s="7">
        <v>313.39999999999998</v>
      </c>
      <c r="Y27" s="7">
        <v>88.9</v>
      </c>
      <c r="Z27" s="7">
        <v>155.4</v>
      </c>
      <c r="AA27" s="7">
        <v>136.19999999999999</v>
      </c>
    </row>
    <row r="28" spans="1:27" x14ac:dyDescent="0.25">
      <c r="A28">
        <v>2018</v>
      </c>
      <c r="B28" s="7">
        <v>1.6</v>
      </c>
      <c r="C28" s="7">
        <v>-5.2</v>
      </c>
      <c r="D28" s="7">
        <v>-0.1</v>
      </c>
      <c r="E28" s="7">
        <v>11.2</v>
      </c>
      <c r="F28" s="7">
        <v>13.9</v>
      </c>
      <c r="G28" s="7">
        <v>15.3</v>
      </c>
      <c r="H28" s="7">
        <v>17.3</v>
      </c>
      <c r="I28" s="7">
        <v>18.8</v>
      </c>
      <c r="J28" s="7">
        <v>13.9</v>
      </c>
      <c r="K28" s="7">
        <v>10</v>
      </c>
      <c r="L28" s="7">
        <v>4.0999999999999996</v>
      </c>
      <c r="M28" s="7">
        <v>0.3</v>
      </c>
      <c r="O28">
        <v>2018</v>
      </c>
      <c r="P28" s="7">
        <v>78.3</v>
      </c>
      <c r="Q28" s="7">
        <v>209.7</v>
      </c>
      <c r="R28" s="7">
        <v>98.6</v>
      </c>
      <c r="S28" s="7">
        <v>64.400000000000006</v>
      </c>
      <c r="T28" s="7">
        <v>105.5</v>
      </c>
      <c r="U28" s="7">
        <v>222.2</v>
      </c>
      <c r="V28" s="7">
        <v>131.5</v>
      </c>
      <c r="W28" s="7">
        <v>75.599999999999994</v>
      </c>
      <c r="X28" s="7">
        <v>75.2</v>
      </c>
      <c r="Y28" s="7">
        <v>84.3</v>
      </c>
      <c r="Z28" s="7">
        <v>88.8</v>
      </c>
      <c r="AA28" s="7">
        <v>25.1</v>
      </c>
    </row>
    <row r="29" spans="1:27" x14ac:dyDescent="0.25">
      <c r="A29">
        <v>2019</v>
      </c>
      <c r="B29" s="7">
        <v>-3.4</v>
      </c>
      <c r="C29" s="7">
        <v>1.8</v>
      </c>
      <c r="D29" s="7">
        <v>4.9000000000000004</v>
      </c>
      <c r="E29" s="7">
        <v>7.4</v>
      </c>
      <c r="F29" s="7">
        <v>7.8</v>
      </c>
      <c r="G29" s="7">
        <v>18.7</v>
      </c>
      <c r="H29" s="7">
        <v>18.100000000000001</v>
      </c>
      <c r="I29" s="7">
        <v>18.5</v>
      </c>
      <c r="J29" s="7">
        <v>13</v>
      </c>
      <c r="K29" s="7">
        <v>10.3</v>
      </c>
      <c r="L29" s="7">
        <v>5.4</v>
      </c>
      <c r="M29" s="7">
        <v>1.4</v>
      </c>
      <c r="O29">
        <v>2019</v>
      </c>
      <c r="P29" s="7">
        <v>63.5</v>
      </c>
      <c r="Q29" s="7">
        <v>36.200000000000003</v>
      </c>
      <c r="R29" s="7">
        <v>77.5</v>
      </c>
      <c r="S29" s="7">
        <v>107.1</v>
      </c>
      <c r="T29" s="7">
        <v>239.4</v>
      </c>
      <c r="U29" s="7">
        <v>106.7</v>
      </c>
      <c r="V29" s="7">
        <v>115</v>
      </c>
      <c r="W29" s="7">
        <v>42.2</v>
      </c>
      <c r="X29" s="7">
        <v>186.7</v>
      </c>
      <c r="Y29" s="7">
        <v>50.8</v>
      </c>
      <c r="Z29" s="7">
        <v>233.7</v>
      </c>
      <c r="AA29" s="7">
        <v>142.19999999999999</v>
      </c>
    </row>
    <row r="30" spans="1:27" x14ac:dyDescent="0.25">
      <c r="A30">
        <v>2020</v>
      </c>
      <c r="B30" s="7">
        <v>1.6</v>
      </c>
      <c r="C30" s="7">
        <v>2.4</v>
      </c>
      <c r="D30" s="7">
        <v>2.8</v>
      </c>
      <c r="E30" s="7">
        <v>8.9</v>
      </c>
      <c r="F30" s="7">
        <v>10.1</v>
      </c>
      <c r="G30" s="7">
        <v>14.5</v>
      </c>
      <c r="H30" s="7">
        <v>17.100000000000001</v>
      </c>
      <c r="I30" s="7">
        <v>17.899999999999999</v>
      </c>
      <c r="J30" s="7">
        <v>13.5</v>
      </c>
      <c r="K30" s="7">
        <v>8.3000000000000007</v>
      </c>
      <c r="L30" s="7">
        <v>3.8</v>
      </c>
      <c r="M30" s="7">
        <v>0.8</v>
      </c>
      <c r="O30">
        <v>2020</v>
      </c>
      <c r="P30" s="7">
        <v>7.5</v>
      </c>
      <c r="Q30" s="7">
        <v>44.2</v>
      </c>
      <c r="R30" s="7">
        <v>52.7</v>
      </c>
      <c r="S30" s="7">
        <v>33.700000000000003</v>
      </c>
      <c r="T30" s="7">
        <v>125.6</v>
      </c>
      <c r="U30" s="7">
        <v>149.19999999999999</v>
      </c>
      <c r="V30" s="7">
        <v>182.9</v>
      </c>
      <c r="W30" s="7">
        <v>96.2</v>
      </c>
      <c r="X30" s="7">
        <v>136.4</v>
      </c>
      <c r="Y30" s="7">
        <v>229.1</v>
      </c>
      <c r="Z30" s="7">
        <v>56.6</v>
      </c>
      <c r="AA30" s="7">
        <v>116.4</v>
      </c>
    </row>
    <row r="31" spans="1:27" x14ac:dyDescent="0.25">
      <c r="A31">
        <v>2021</v>
      </c>
      <c r="B31" s="7">
        <v>-1.9</v>
      </c>
      <c r="C31" s="7">
        <v>2.4</v>
      </c>
      <c r="D31" s="7">
        <v>2.1</v>
      </c>
      <c r="E31" s="7">
        <v>3.9</v>
      </c>
      <c r="F31" s="7">
        <v>9</v>
      </c>
      <c r="G31" s="7">
        <v>18</v>
      </c>
      <c r="H31" s="7">
        <v>18.8</v>
      </c>
      <c r="I31" s="7">
        <v>16.7</v>
      </c>
      <c r="J31" s="7">
        <v>13.4</v>
      </c>
      <c r="K31" s="7">
        <v>6.7</v>
      </c>
      <c r="L31" s="7">
        <v>3.5</v>
      </c>
      <c r="M31" s="7">
        <v>0</v>
      </c>
      <c r="O31">
        <v>2021</v>
      </c>
      <c r="P31" s="7">
        <v>107.8</v>
      </c>
      <c r="Q31" s="7">
        <v>44.7</v>
      </c>
      <c r="R31" s="7">
        <v>47.2</v>
      </c>
      <c r="S31" s="7">
        <v>105.2</v>
      </c>
      <c r="T31" s="7">
        <v>180.9</v>
      </c>
      <c r="U31" s="7">
        <v>15.6</v>
      </c>
      <c r="V31" s="7">
        <v>81</v>
      </c>
      <c r="W31" s="7">
        <v>69.8</v>
      </c>
      <c r="X31" s="7">
        <v>59.3</v>
      </c>
      <c r="Y31" s="7">
        <v>148.69999999999999</v>
      </c>
      <c r="Z31" s="7">
        <v>117.4</v>
      </c>
      <c r="AA31" s="7">
        <v>103.1</v>
      </c>
    </row>
    <row r="32" spans="1:27" x14ac:dyDescent="0.25">
      <c r="A32">
        <v>2022</v>
      </c>
      <c r="B32" s="7">
        <v>-0.5</v>
      </c>
      <c r="C32" s="7">
        <v>1.3</v>
      </c>
      <c r="D32" s="7">
        <v>2</v>
      </c>
      <c r="E32" s="7">
        <v>5.4</v>
      </c>
      <c r="F32" s="7">
        <v>13.5</v>
      </c>
      <c r="G32" s="7">
        <v>17.8</v>
      </c>
      <c r="H32" s="7">
        <v>18.899999999999999</v>
      </c>
      <c r="I32" s="7">
        <v>18.100000000000001</v>
      </c>
      <c r="J32" s="7">
        <v>11.7</v>
      </c>
      <c r="K32" s="7">
        <v>12.1</v>
      </c>
      <c r="L32" s="7">
        <v>4.5999999999999996</v>
      </c>
      <c r="M32" s="7">
        <v>1.6</v>
      </c>
      <c r="O32">
        <v>2022</v>
      </c>
      <c r="P32" s="7">
        <v>27.6</v>
      </c>
      <c r="Q32" s="7">
        <v>46.3</v>
      </c>
      <c r="R32" s="7">
        <v>17</v>
      </c>
      <c r="S32" s="7">
        <v>133.19999999999999</v>
      </c>
      <c r="T32" s="7">
        <v>51.6</v>
      </c>
      <c r="U32" s="7">
        <v>72.2</v>
      </c>
      <c r="V32" s="7">
        <v>67.599999999999994</v>
      </c>
      <c r="W32" s="7">
        <v>43.5</v>
      </c>
      <c r="X32" s="7">
        <v>311.8</v>
      </c>
      <c r="Y32" s="7">
        <v>25.3</v>
      </c>
      <c r="Z32" s="7">
        <v>124.3</v>
      </c>
      <c r="AA32" s="7">
        <v>118.1</v>
      </c>
    </row>
    <row r="33" spans="1:27" x14ac:dyDescent="0.25">
      <c r="A33">
        <v>2023</v>
      </c>
      <c r="B33">
        <v>0.30000000000000004</v>
      </c>
      <c r="C33">
        <v>-0.2</v>
      </c>
      <c r="D33">
        <v>4.0999999999999996</v>
      </c>
      <c r="E33">
        <v>4.8</v>
      </c>
      <c r="F33">
        <v>10.7</v>
      </c>
      <c r="G33">
        <v>15.7</v>
      </c>
      <c r="H33">
        <v>18.5</v>
      </c>
      <c r="I33">
        <v>17.5</v>
      </c>
      <c r="J33">
        <v>15.4</v>
      </c>
      <c r="K33">
        <v>11.9</v>
      </c>
      <c r="L33">
        <v>4.2</v>
      </c>
      <c r="M33">
        <v>3</v>
      </c>
      <c r="O33">
        <v>2023</v>
      </c>
      <c r="P33">
        <v>196</v>
      </c>
      <c r="Q33">
        <v>41.1</v>
      </c>
      <c r="R33">
        <v>99.2</v>
      </c>
      <c r="S33">
        <v>120.3</v>
      </c>
      <c r="T33">
        <v>201.2</v>
      </c>
      <c r="U33">
        <v>200</v>
      </c>
      <c r="V33">
        <v>170.5</v>
      </c>
      <c r="W33">
        <v>124.9</v>
      </c>
      <c r="X33">
        <v>68.2</v>
      </c>
      <c r="Y33">
        <v>82.2</v>
      </c>
      <c r="Z33">
        <v>165.3</v>
      </c>
      <c r="AA33">
        <v>123.4</v>
      </c>
    </row>
    <row r="34" spans="1:27" x14ac:dyDescent="0.25">
      <c r="A34">
        <v>2024</v>
      </c>
      <c r="B34">
        <v>0.1</v>
      </c>
      <c r="C34">
        <v>5.6</v>
      </c>
      <c r="D34">
        <v>6</v>
      </c>
      <c r="E34">
        <v>8.9</v>
      </c>
      <c r="F34">
        <v>12.1</v>
      </c>
      <c r="G34">
        <v>16.8</v>
      </c>
      <c r="H34">
        <v>19.8</v>
      </c>
      <c r="I34">
        <v>20.399999999999999</v>
      </c>
      <c r="J34">
        <v>12.9</v>
      </c>
      <c r="K34">
        <v>10</v>
      </c>
      <c r="L34">
        <v>2.6</v>
      </c>
      <c r="M34">
        <v>0.7</v>
      </c>
      <c r="O34">
        <v>2024</v>
      </c>
      <c r="P34">
        <v>81.5</v>
      </c>
      <c r="Q34">
        <v>44.5</v>
      </c>
      <c r="R34">
        <v>123.4</v>
      </c>
      <c r="S34">
        <v>45.4</v>
      </c>
      <c r="T34">
        <v>108.8</v>
      </c>
      <c r="U34">
        <v>187.6</v>
      </c>
      <c r="V34">
        <v>131.1</v>
      </c>
      <c r="W34">
        <v>116</v>
      </c>
      <c r="X34">
        <v>208.7</v>
      </c>
      <c r="Y34">
        <v>154.1</v>
      </c>
      <c r="Z34">
        <v>72</v>
      </c>
      <c r="AA34">
        <v>40.799999999999997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7B1C-E0D3-4EA1-865C-F2C1F5712E9F}">
  <dimension ref="A1:AA63"/>
  <sheetViews>
    <sheetView topLeftCell="A17" workbookViewId="0">
      <selection activeCell="T40" sqref="T40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8.1103448275862071</v>
      </c>
      <c r="C2" s="4">
        <f t="shared" ref="C2:L2" si="0">AVERAGE(C5:C46)</f>
        <v>8.5566666666666666</v>
      </c>
      <c r="D2" s="4">
        <f t="shared" si="0"/>
        <v>10.813333333333331</v>
      </c>
      <c r="E2" s="4">
        <f t="shared" si="0"/>
        <v>14.296666666666669</v>
      </c>
      <c r="F2" s="4">
        <f t="shared" si="0"/>
        <v>18.893333333333334</v>
      </c>
      <c r="G2" s="4">
        <f t="shared" si="0"/>
        <v>23.396666666666661</v>
      </c>
      <c r="H2" s="4">
        <f t="shared" si="0"/>
        <v>25.816666666666663</v>
      </c>
      <c r="I2" s="4">
        <f t="shared" si="0"/>
        <v>25.52333333333333</v>
      </c>
      <c r="J2" s="4">
        <f t="shared" si="0"/>
        <v>20.810000000000006</v>
      </c>
      <c r="K2" s="4">
        <f t="shared" si="0"/>
        <v>16.863333333333337</v>
      </c>
      <c r="L2" s="4">
        <f t="shared" si="0"/>
        <v>12.793333333333333</v>
      </c>
      <c r="M2" s="4">
        <f>AVERAGE(M5:M46)</f>
        <v>9.3966666666666665</v>
      </c>
      <c r="O2" s="30"/>
      <c r="P2" s="4">
        <f>AVERAGE(P5:P46)</f>
        <v>99.383333333333312</v>
      </c>
      <c r="Q2" s="4">
        <f t="shared" ref="Q2:Z2" si="1">AVERAGE(Q5:Q46)</f>
        <v>88.746666666666655</v>
      </c>
      <c r="R2" s="4">
        <f t="shared" si="1"/>
        <v>65.11333333333333</v>
      </c>
      <c r="S2" s="4">
        <f t="shared" si="1"/>
        <v>74.073333333333338</v>
      </c>
      <c r="T2" s="4">
        <f t="shared" si="1"/>
        <v>81.126666666666679</v>
      </c>
      <c r="U2" s="4">
        <f t="shared" si="1"/>
        <v>56.5</v>
      </c>
      <c r="V2" s="4">
        <f t="shared" si="1"/>
        <v>48.426666666666662</v>
      </c>
      <c r="W2" s="4">
        <f t="shared" si="1"/>
        <v>58.823333333333345</v>
      </c>
      <c r="X2" s="4">
        <f t="shared" si="1"/>
        <v>156.37333333333333</v>
      </c>
      <c r="Y2" s="4">
        <f t="shared" si="1"/>
        <v>122.27333333333331</v>
      </c>
      <c r="Z2" s="4">
        <f t="shared" si="1"/>
        <v>145.75</v>
      </c>
      <c r="AA2" s="4">
        <f>AVERAGE(AA5:AA46)</f>
        <v>119.05000000000003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t="s">
        <v>54</v>
      </c>
      <c r="C5">
        <v>9.6999999999999993</v>
      </c>
      <c r="D5">
        <v>9.1</v>
      </c>
      <c r="E5">
        <v>12.6</v>
      </c>
      <c r="F5">
        <v>17.399999999999999</v>
      </c>
      <c r="G5">
        <v>20.7</v>
      </c>
      <c r="H5">
        <v>26.1</v>
      </c>
      <c r="I5">
        <v>23.3</v>
      </c>
      <c r="J5">
        <v>18.5</v>
      </c>
      <c r="K5">
        <v>17.3</v>
      </c>
      <c r="L5">
        <v>10.9</v>
      </c>
      <c r="M5">
        <v>9.1</v>
      </c>
      <c r="O5">
        <v>1995</v>
      </c>
      <c r="P5" s="2">
        <v>83.8</v>
      </c>
      <c r="Q5" s="2">
        <v>157.9</v>
      </c>
      <c r="R5" s="2">
        <v>92.7</v>
      </c>
      <c r="S5" s="2">
        <v>19.5</v>
      </c>
      <c r="T5" s="2">
        <v>72</v>
      </c>
      <c r="U5" s="2">
        <v>108.2</v>
      </c>
      <c r="V5" s="2">
        <v>7.3</v>
      </c>
      <c r="W5" s="2">
        <v>62.5</v>
      </c>
      <c r="X5" s="2">
        <v>236.2</v>
      </c>
      <c r="Y5" s="2">
        <v>17.8</v>
      </c>
      <c r="Z5" s="2">
        <v>51.6</v>
      </c>
      <c r="AA5" s="2">
        <v>151.69999999999999</v>
      </c>
    </row>
    <row r="6" spans="1:27" x14ac:dyDescent="0.25">
      <c r="A6">
        <v>1996</v>
      </c>
      <c r="B6">
        <v>8.3000000000000007</v>
      </c>
      <c r="C6">
        <v>6.2</v>
      </c>
      <c r="D6">
        <v>8</v>
      </c>
      <c r="E6">
        <v>13.9</v>
      </c>
      <c r="F6">
        <v>18.100000000000001</v>
      </c>
      <c r="G6">
        <v>22.7</v>
      </c>
      <c r="H6">
        <v>23.4</v>
      </c>
      <c r="I6">
        <v>23.7</v>
      </c>
      <c r="J6">
        <v>17.2</v>
      </c>
      <c r="K6">
        <v>15.8</v>
      </c>
      <c r="L6">
        <v>12.9</v>
      </c>
      <c r="M6">
        <v>8</v>
      </c>
      <c r="O6">
        <v>1996</v>
      </c>
      <c r="P6" s="2">
        <v>90.5</v>
      </c>
      <c r="Q6" s="2">
        <v>76.7</v>
      </c>
      <c r="R6" s="2">
        <v>19.3</v>
      </c>
      <c r="S6" s="2">
        <v>49</v>
      </c>
      <c r="T6" s="2">
        <v>133.6</v>
      </c>
      <c r="U6" s="2">
        <v>80.8</v>
      </c>
      <c r="V6" s="2">
        <v>40.5</v>
      </c>
      <c r="W6" s="2">
        <v>96.1</v>
      </c>
      <c r="X6" s="2">
        <v>219</v>
      </c>
      <c r="Y6" s="2">
        <v>122.6</v>
      </c>
      <c r="Z6" s="2">
        <v>167.9</v>
      </c>
      <c r="AA6" s="2">
        <v>139.9</v>
      </c>
    </row>
    <row r="7" spans="1:27" x14ac:dyDescent="0.25">
      <c r="A7">
        <v>1997</v>
      </c>
      <c r="B7">
        <v>8.6</v>
      </c>
      <c r="C7">
        <v>8.9</v>
      </c>
      <c r="D7">
        <v>11.5</v>
      </c>
      <c r="E7">
        <v>10.9</v>
      </c>
      <c r="F7">
        <v>18.2</v>
      </c>
      <c r="G7">
        <v>21.7</v>
      </c>
      <c r="H7">
        <v>23.5</v>
      </c>
      <c r="I7">
        <v>23.9</v>
      </c>
      <c r="J7">
        <v>20.6</v>
      </c>
      <c r="K7">
        <v>15.3</v>
      </c>
      <c r="L7">
        <v>11.9</v>
      </c>
      <c r="M7">
        <v>9.5</v>
      </c>
      <c r="O7">
        <v>1997</v>
      </c>
      <c r="P7" s="2">
        <v>151.5</v>
      </c>
      <c r="Q7" s="2">
        <v>55.5</v>
      </c>
      <c r="R7" s="2">
        <v>37.4</v>
      </c>
      <c r="S7" s="2">
        <v>48.1</v>
      </c>
      <c r="T7" s="2">
        <v>56.9</v>
      </c>
      <c r="U7" s="2">
        <v>98.7</v>
      </c>
      <c r="V7" s="2">
        <v>91.7</v>
      </c>
      <c r="W7" s="2">
        <v>93.5</v>
      </c>
      <c r="X7" s="2">
        <v>83.6</v>
      </c>
      <c r="Y7" s="2">
        <v>31.5</v>
      </c>
      <c r="Z7" s="2">
        <v>185.8</v>
      </c>
      <c r="AA7" s="2">
        <v>172.9</v>
      </c>
    </row>
    <row r="8" spans="1:27" x14ac:dyDescent="0.25">
      <c r="A8">
        <v>1998</v>
      </c>
      <c r="B8">
        <v>8.4</v>
      </c>
      <c r="C8">
        <v>10</v>
      </c>
      <c r="D8">
        <v>9.5</v>
      </c>
      <c r="E8">
        <v>14</v>
      </c>
      <c r="F8">
        <v>18.7</v>
      </c>
      <c r="G8">
        <v>22.9</v>
      </c>
      <c r="H8">
        <v>25.7</v>
      </c>
      <c r="I8">
        <v>26.3</v>
      </c>
      <c r="J8">
        <v>19.899999999999999</v>
      </c>
      <c r="K8">
        <v>16.399999999999999</v>
      </c>
      <c r="L8">
        <v>10.199999999999999</v>
      </c>
      <c r="M8">
        <v>7.2</v>
      </c>
      <c r="O8">
        <v>1998</v>
      </c>
      <c r="P8" s="2">
        <v>54.1</v>
      </c>
      <c r="Q8" s="2">
        <v>8.3000000000000007</v>
      </c>
      <c r="R8" s="2">
        <v>13.7</v>
      </c>
      <c r="S8" s="2">
        <v>98.1</v>
      </c>
      <c r="T8" s="2">
        <v>25.3</v>
      </c>
      <c r="U8" s="2">
        <v>51.6</v>
      </c>
      <c r="V8" s="2">
        <v>81.099999999999994</v>
      </c>
      <c r="W8" s="2">
        <v>29</v>
      </c>
      <c r="X8" s="2">
        <v>281.89999999999998</v>
      </c>
      <c r="Y8" s="2">
        <v>208.8</v>
      </c>
      <c r="Z8" s="2">
        <v>85.1</v>
      </c>
      <c r="AA8" s="2">
        <v>59.1</v>
      </c>
    </row>
    <row r="9" spans="1:27" x14ac:dyDescent="0.25">
      <c r="A9">
        <v>1999</v>
      </c>
      <c r="B9">
        <v>7.7</v>
      </c>
      <c r="C9">
        <v>6.5</v>
      </c>
      <c r="D9">
        <v>10.5</v>
      </c>
      <c r="E9">
        <v>13.8</v>
      </c>
      <c r="F9">
        <v>18.600000000000001</v>
      </c>
      <c r="G9">
        <v>22.7</v>
      </c>
      <c r="H9">
        <v>24.8</v>
      </c>
      <c r="I9">
        <v>25.2</v>
      </c>
      <c r="J9">
        <v>22.1</v>
      </c>
      <c r="K9">
        <v>16.5</v>
      </c>
      <c r="L9">
        <v>10.7</v>
      </c>
      <c r="M9">
        <v>8.6999999999999993</v>
      </c>
      <c r="O9">
        <v>1999</v>
      </c>
      <c r="P9" s="16">
        <v>112.1</v>
      </c>
      <c r="Q9" s="16">
        <v>63</v>
      </c>
      <c r="R9" s="16">
        <v>70.2</v>
      </c>
      <c r="S9" s="16">
        <v>197.6</v>
      </c>
      <c r="T9" s="16">
        <v>219.6</v>
      </c>
      <c r="U9" s="16">
        <v>49.8</v>
      </c>
      <c r="V9" s="16">
        <v>13.8</v>
      </c>
      <c r="W9" s="16">
        <v>27.1</v>
      </c>
      <c r="X9" s="16">
        <v>220.7</v>
      </c>
      <c r="Y9" s="16">
        <v>113.7</v>
      </c>
      <c r="Z9" s="16">
        <v>170.2</v>
      </c>
      <c r="AA9" s="16">
        <v>151.9</v>
      </c>
    </row>
    <row r="10" spans="1:27" x14ac:dyDescent="0.25">
      <c r="A10">
        <v>2000</v>
      </c>
      <c r="B10">
        <v>5.9</v>
      </c>
      <c r="C10">
        <v>8.4</v>
      </c>
      <c r="D10">
        <v>10</v>
      </c>
      <c r="E10">
        <v>15</v>
      </c>
      <c r="F10">
        <v>20.100000000000001</v>
      </c>
      <c r="G10">
        <v>24</v>
      </c>
      <c r="H10">
        <v>23.7</v>
      </c>
      <c r="I10">
        <v>26.4</v>
      </c>
      <c r="J10">
        <v>20.9</v>
      </c>
      <c r="K10">
        <v>17.7</v>
      </c>
      <c r="L10">
        <v>14.2</v>
      </c>
      <c r="M10">
        <v>10.6</v>
      </c>
      <c r="O10">
        <v>2000</v>
      </c>
      <c r="P10" s="16">
        <v>30.9</v>
      </c>
      <c r="Q10" s="16">
        <v>59.1</v>
      </c>
      <c r="R10" s="16">
        <v>78.7</v>
      </c>
      <c r="S10" s="16">
        <v>41.8</v>
      </c>
      <c r="T10" s="16">
        <v>23.8</v>
      </c>
      <c r="U10" s="16">
        <v>19</v>
      </c>
      <c r="V10" s="16">
        <v>82.8</v>
      </c>
      <c r="W10" s="16">
        <v>4.8</v>
      </c>
      <c r="X10" s="16">
        <v>108.2</v>
      </c>
      <c r="Y10" s="16">
        <v>324.10000000000002</v>
      </c>
      <c r="Z10" s="16">
        <v>303</v>
      </c>
      <c r="AA10" s="16">
        <v>224.6</v>
      </c>
    </row>
    <row r="11" spans="1:27" x14ac:dyDescent="0.25">
      <c r="A11">
        <v>2001</v>
      </c>
      <c r="B11">
        <v>9.4</v>
      </c>
      <c r="C11">
        <v>9.1999999999999993</v>
      </c>
      <c r="D11">
        <v>13.1</v>
      </c>
      <c r="E11">
        <v>13.1</v>
      </c>
      <c r="F11">
        <v>20.100000000000001</v>
      </c>
      <c r="G11">
        <v>21.1</v>
      </c>
      <c r="H11">
        <v>25.3</v>
      </c>
      <c r="I11">
        <v>26.5</v>
      </c>
      <c r="J11">
        <v>18.2</v>
      </c>
      <c r="K11">
        <v>17.899999999999999</v>
      </c>
      <c r="L11">
        <v>11.1</v>
      </c>
      <c r="M11">
        <v>6</v>
      </c>
      <c r="O11">
        <v>2001</v>
      </c>
      <c r="P11" s="16">
        <v>151.4</v>
      </c>
      <c r="Q11" s="16">
        <v>152.6</v>
      </c>
      <c r="R11" s="16">
        <v>151.4</v>
      </c>
      <c r="S11" s="16">
        <v>74.3</v>
      </c>
      <c r="T11" s="16">
        <v>38.1</v>
      </c>
      <c r="U11" s="16">
        <v>102.5</v>
      </c>
      <c r="V11" s="16">
        <v>14.8</v>
      </c>
      <c r="W11" s="16">
        <v>1.4</v>
      </c>
      <c r="X11" s="16">
        <v>154.19999999999999</v>
      </c>
      <c r="Y11" s="16">
        <v>123.1</v>
      </c>
      <c r="Z11" s="16">
        <v>106.8</v>
      </c>
      <c r="AA11" s="16">
        <v>60.5</v>
      </c>
    </row>
    <row r="12" spans="1:27" x14ac:dyDescent="0.25">
      <c r="A12">
        <v>2002</v>
      </c>
      <c r="B12" s="14">
        <v>6.6</v>
      </c>
      <c r="C12" s="14">
        <v>9</v>
      </c>
      <c r="D12" s="14">
        <v>11.8</v>
      </c>
      <c r="E12" s="14">
        <v>13.7</v>
      </c>
      <c r="F12" s="14">
        <v>18.8</v>
      </c>
      <c r="G12" s="14">
        <v>23.3</v>
      </c>
      <c r="H12" s="14">
        <v>24.7</v>
      </c>
      <c r="I12" s="14">
        <v>23.5</v>
      </c>
      <c r="J12" s="14">
        <v>19.399999999999999</v>
      </c>
      <c r="K12" s="14">
        <v>16.7</v>
      </c>
      <c r="L12" s="14">
        <v>14.4</v>
      </c>
      <c r="M12" s="14">
        <v>9.4</v>
      </c>
      <c r="O12">
        <v>2002</v>
      </c>
      <c r="P12" s="17">
        <v>15</v>
      </c>
      <c r="Q12" s="17">
        <v>123</v>
      </c>
      <c r="R12" s="17">
        <v>8</v>
      </c>
      <c r="S12" s="17">
        <v>147</v>
      </c>
      <c r="T12" s="17">
        <v>65</v>
      </c>
      <c r="U12" s="17">
        <v>89</v>
      </c>
      <c r="V12" s="17">
        <v>64</v>
      </c>
      <c r="W12" s="17">
        <v>195</v>
      </c>
      <c r="X12" s="17">
        <v>260</v>
      </c>
      <c r="Y12" s="17">
        <v>58</v>
      </c>
      <c r="Z12" s="17">
        <v>176</v>
      </c>
      <c r="AA12" s="17">
        <v>125</v>
      </c>
    </row>
    <row r="13" spans="1:27" x14ac:dyDescent="0.25">
      <c r="A13">
        <v>2003</v>
      </c>
      <c r="B13" s="14">
        <v>7.4</v>
      </c>
      <c r="C13" s="14">
        <v>4.9000000000000004</v>
      </c>
      <c r="D13" s="14">
        <v>10</v>
      </c>
      <c r="E13" s="14">
        <v>13.5</v>
      </c>
      <c r="F13" s="14">
        <v>20.7</v>
      </c>
      <c r="G13" s="14">
        <v>26.2</v>
      </c>
      <c r="H13" s="14">
        <v>26.7</v>
      </c>
      <c r="I13" s="14">
        <v>28.4</v>
      </c>
      <c r="J13" s="14">
        <v>19.899999999999999</v>
      </c>
      <c r="K13" s="14">
        <v>14.9</v>
      </c>
      <c r="L13" s="14">
        <v>13.5</v>
      </c>
      <c r="M13" s="14">
        <v>9.6999999999999993</v>
      </c>
      <c r="O13">
        <v>2003</v>
      </c>
      <c r="P13" s="17">
        <v>138.5</v>
      </c>
      <c r="Q13" s="17">
        <v>40.5</v>
      </c>
      <c r="R13" s="17">
        <v>17.600000000000001</v>
      </c>
      <c r="S13" s="17">
        <v>44.5</v>
      </c>
      <c r="T13" s="17">
        <v>29.8</v>
      </c>
      <c r="U13" s="17">
        <v>91.8</v>
      </c>
      <c r="V13" s="17">
        <v>15.4</v>
      </c>
      <c r="W13" s="17">
        <v>6.7</v>
      </c>
      <c r="X13" s="17">
        <v>91.8</v>
      </c>
      <c r="Y13" s="17">
        <v>242.1</v>
      </c>
      <c r="Z13" s="17">
        <v>78.5</v>
      </c>
      <c r="AA13" s="17">
        <v>81.900000000000006</v>
      </c>
    </row>
    <row r="14" spans="1:27" x14ac:dyDescent="0.25">
      <c r="A14">
        <v>2004</v>
      </c>
      <c r="B14" s="13">
        <v>6.6</v>
      </c>
      <c r="C14" s="13">
        <v>7.4</v>
      </c>
      <c r="D14" s="13">
        <v>9.3000000000000007</v>
      </c>
      <c r="E14" s="13">
        <v>13.4</v>
      </c>
      <c r="F14" s="13">
        <v>16.600000000000001</v>
      </c>
      <c r="G14" s="13">
        <v>22</v>
      </c>
      <c r="H14" s="13">
        <v>25.2</v>
      </c>
      <c r="I14" s="13">
        <v>24.7</v>
      </c>
      <c r="J14" s="13">
        <v>21</v>
      </c>
      <c r="K14" s="13">
        <v>18</v>
      </c>
      <c r="L14" s="13">
        <v>12.5</v>
      </c>
      <c r="M14" s="13">
        <v>9.3000000000000007</v>
      </c>
      <c r="O14">
        <v>2004</v>
      </c>
      <c r="P14" s="16">
        <v>93.9</v>
      </c>
      <c r="Q14" s="16">
        <v>133.69999999999999</v>
      </c>
      <c r="R14" s="16">
        <v>84.3</v>
      </c>
      <c r="S14" s="16">
        <v>114.3</v>
      </c>
      <c r="T14" s="16">
        <v>69.8</v>
      </c>
      <c r="U14" s="16">
        <v>35.1</v>
      </c>
      <c r="V14" s="16">
        <v>12.2</v>
      </c>
      <c r="W14" s="16">
        <v>38.1</v>
      </c>
      <c r="X14" s="16">
        <v>50.8</v>
      </c>
      <c r="Y14" s="16">
        <v>170</v>
      </c>
      <c r="Z14" s="16">
        <v>87.2</v>
      </c>
      <c r="AA14" s="16">
        <v>158.80000000000001</v>
      </c>
    </row>
    <row r="15" spans="1:27" x14ac:dyDescent="0.25">
      <c r="A15">
        <v>2005</v>
      </c>
      <c r="B15" s="13">
        <v>6.6</v>
      </c>
      <c r="C15" s="13">
        <v>5.3</v>
      </c>
      <c r="D15" s="13">
        <v>9.1</v>
      </c>
      <c r="E15" s="13">
        <v>13.1</v>
      </c>
      <c r="F15" s="13">
        <v>18.899999999999999</v>
      </c>
      <c r="G15" s="13">
        <v>22.9</v>
      </c>
      <c r="H15" s="13">
        <v>24.9</v>
      </c>
      <c r="I15" s="13">
        <v>22.4</v>
      </c>
      <c r="J15" s="13">
        <v>21.2</v>
      </c>
      <c r="K15" s="13">
        <v>16</v>
      </c>
      <c r="L15" s="13">
        <v>11.6</v>
      </c>
      <c r="M15" s="13">
        <v>7.9</v>
      </c>
      <c r="O15">
        <v>2005</v>
      </c>
      <c r="P15" s="16">
        <v>36.6</v>
      </c>
      <c r="Q15" s="16">
        <v>67.7</v>
      </c>
      <c r="R15" s="16">
        <v>139.9</v>
      </c>
      <c r="S15" s="16">
        <v>169.8</v>
      </c>
      <c r="T15" s="16">
        <v>85.3</v>
      </c>
      <c r="U15" s="16">
        <v>14.4</v>
      </c>
      <c r="V15" s="16">
        <v>56.4</v>
      </c>
      <c r="W15" s="16">
        <v>123.8</v>
      </c>
      <c r="X15" s="16">
        <v>248</v>
      </c>
      <c r="Y15" s="16">
        <v>77.7</v>
      </c>
      <c r="Z15" s="16">
        <v>138.1</v>
      </c>
      <c r="AA15" s="16">
        <v>198.5</v>
      </c>
    </row>
    <row r="16" spans="1:27" x14ac:dyDescent="0.25">
      <c r="A16">
        <v>2006</v>
      </c>
      <c r="B16" s="13">
        <v>6.5</v>
      </c>
      <c r="C16" s="13">
        <v>7.6</v>
      </c>
      <c r="D16" s="13">
        <v>8.6999999999999993</v>
      </c>
      <c r="E16" s="13">
        <v>14.1</v>
      </c>
      <c r="F16" s="13">
        <v>18.7</v>
      </c>
      <c r="G16" s="13">
        <v>22.8</v>
      </c>
      <c r="H16" s="13">
        <v>27.2</v>
      </c>
      <c r="I16" s="13">
        <v>23</v>
      </c>
      <c r="J16" s="13">
        <v>22</v>
      </c>
      <c r="K16" s="13">
        <v>18.3</v>
      </c>
      <c r="L16" s="13">
        <v>13.5</v>
      </c>
      <c r="M16" s="13">
        <v>10.6</v>
      </c>
      <c r="O16">
        <v>2006</v>
      </c>
      <c r="P16" s="16">
        <v>140.80000000000001</v>
      </c>
      <c r="Q16" s="16">
        <v>45.5</v>
      </c>
      <c r="R16" s="16">
        <v>53.3</v>
      </c>
      <c r="S16" s="16">
        <v>83.4</v>
      </c>
      <c r="T16" s="16">
        <v>49.1</v>
      </c>
      <c r="U16" s="16">
        <v>16.7</v>
      </c>
      <c r="V16" s="16">
        <v>1.7</v>
      </c>
      <c r="W16" s="16">
        <v>105.7</v>
      </c>
      <c r="X16" s="16">
        <v>76.8</v>
      </c>
      <c r="Y16" s="16">
        <v>34.5</v>
      </c>
      <c r="Z16" s="16">
        <v>88.9</v>
      </c>
      <c r="AA16" s="16">
        <v>42.9</v>
      </c>
    </row>
    <row r="17" spans="1:27" x14ac:dyDescent="0.25">
      <c r="A17">
        <v>2007</v>
      </c>
      <c r="B17" s="13">
        <v>10.199999999999999</v>
      </c>
      <c r="C17" s="13">
        <v>10.9</v>
      </c>
      <c r="D17" s="13">
        <v>12.5</v>
      </c>
      <c r="E17" s="13">
        <v>16.8</v>
      </c>
      <c r="F17" s="13">
        <v>20.2</v>
      </c>
      <c r="G17" s="13">
        <v>24</v>
      </c>
      <c r="H17" s="13">
        <v>26.4</v>
      </c>
      <c r="I17" s="13">
        <v>24.4</v>
      </c>
      <c r="J17" s="13">
        <v>18.899999999999999</v>
      </c>
      <c r="K17" s="13">
        <v>15.2</v>
      </c>
      <c r="L17" s="13">
        <v>11.1</v>
      </c>
      <c r="M17" s="13">
        <v>7.8</v>
      </c>
      <c r="O17">
        <v>2007</v>
      </c>
      <c r="P17" s="16">
        <v>84.3</v>
      </c>
      <c r="Q17" s="16">
        <v>112.3</v>
      </c>
      <c r="R17" s="16">
        <v>128.6</v>
      </c>
      <c r="S17" s="16">
        <v>0</v>
      </c>
      <c r="T17" s="16">
        <v>192.7</v>
      </c>
      <c r="U17" s="16">
        <v>48.7</v>
      </c>
      <c r="V17" s="16">
        <v>7.9</v>
      </c>
      <c r="W17" s="16">
        <v>100.7</v>
      </c>
      <c r="X17" s="16">
        <v>76.900000000000006</v>
      </c>
      <c r="Y17" s="16">
        <v>59.7</v>
      </c>
      <c r="Z17" s="16">
        <v>30.5</v>
      </c>
      <c r="AA17" s="16">
        <v>87.3</v>
      </c>
    </row>
    <row r="18" spans="1:27" x14ac:dyDescent="0.25">
      <c r="A18">
        <v>2008</v>
      </c>
      <c r="B18" s="13">
        <v>8.8000000000000007</v>
      </c>
      <c r="C18" s="13">
        <v>8.1</v>
      </c>
      <c r="D18" s="13">
        <v>10.6</v>
      </c>
      <c r="E18" s="13">
        <v>14.3</v>
      </c>
      <c r="F18" s="13">
        <v>19.5</v>
      </c>
      <c r="G18" s="13">
        <v>23.7</v>
      </c>
      <c r="H18" s="13">
        <v>26</v>
      </c>
      <c r="I18" s="13">
        <v>25.8</v>
      </c>
      <c r="J18" s="13">
        <v>20.100000000000001</v>
      </c>
      <c r="K18" s="13">
        <v>17.2</v>
      </c>
      <c r="L18" s="13">
        <v>13</v>
      </c>
      <c r="M18" s="13">
        <v>9.6</v>
      </c>
      <c r="O18">
        <v>2008</v>
      </c>
      <c r="P18" s="16">
        <v>82.1</v>
      </c>
      <c r="Q18" s="16">
        <v>43.2</v>
      </c>
      <c r="R18" s="16">
        <v>117.8</v>
      </c>
      <c r="S18" s="16">
        <v>69.599999999999994</v>
      </c>
      <c r="T18" s="16">
        <v>76.2</v>
      </c>
      <c r="U18" s="16">
        <v>79.7</v>
      </c>
      <c r="V18" s="16">
        <v>4.2</v>
      </c>
      <c r="W18" s="16">
        <v>30.4</v>
      </c>
      <c r="X18" s="16">
        <v>13.5</v>
      </c>
      <c r="Y18" s="16">
        <v>80.2</v>
      </c>
      <c r="Z18" s="16">
        <v>146.69999999999999</v>
      </c>
      <c r="AA18" s="16">
        <v>293.89999999999998</v>
      </c>
    </row>
    <row r="19" spans="1:27" x14ac:dyDescent="0.25">
      <c r="A19">
        <v>2009</v>
      </c>
      <c r="B19" s="13">
        <v>7.6</v>
      </c>
      <c r="C19" s="13">
        <v>7.9</v>
      </c>
      <c r="D19" s="13">
        <v>10.7</v>
      </c>
      <c r="E19" s="13">
        <v>15.8</v>
      </c>
      <c r="F19" s="13">
        <v>20.7</v>
      </c>
      <c r="G19" s="13">
        <v>22.1</v>
      </c>
      <c r="H19" s="13">
        <v>26</v>
      </c>
      <c r="I19" s="13">
        <v>26.5</v>
      </c>
      <c r="J19" s="13">
        <v>22.5</v>
      </c>
      <c r="K19" s="13">
        <v>16.100000000000001</v>
      </c>
      <c r="L19" s="13">
        <v>12.8</v>
      </c>
      <c r="M19" s="13">
        <v>9.1</v>
      </c>
      <c r="O19">
        <v>2009</v>
      </c>
      <c r="P19" s="16">
        <v>125.5</v>
      </c>
      <c r="Q19" s="16">
        <v>100.7</v>
      </c>
      <c r="R19" s="16">
        <v>83.2</v>
      </c>
      <c r="S19" s="16">
        <v>53.8</v>
      </c>
      <c r="T19" s="16">
        <v>0.4</v>
      </c>
      <c r="U19" s="16">
        <v>63.8</v>
      </c>
      <c r="V19" s="16">
        <v>18.3</v>
      </c>
      <c r="W19" s="16">
        <v>15.9</v>
      </c>
      <c r="X19" s="16">
        <v>58.1</v>
      </c>
      <c r="Y19" s="16">
        <v>76.599999999999994</v>
      </c>
      <c r="Z19" s="16">
        <v>97.1</v>
      </c>
      <c r="AA19" s="16">
        <v>178.6</v>
      </c>
    </row>
    <row r="20" spans="1:27" x14ac:dyDescent="0.25">
      <c r="A20">
        <v>2010</v>
      </c>
      <c r="B20" s="13">
        <v>6.2</v>
      </c>
      <c r="C20" s="13">
        <v>8</v>
      </c>
      <c r="D20" s="13">
        <v>10</v>
      </c>
      <c r="E20" s="13">
        <v>14.7</v>
      </c>
      <c r="F20" s="13">
        <v>17.8</v>
      </c>
      <c r="G20" s="13">
        <v>22.8</v>
      </c>
      <c r="H20" s="13">
        <v>26.4</v>
      </c>
      <c r="I20" s="13">
        <v>24.3</v>
      </c>
      <c r="J20" s="13">
        <v>20.100000000000001</v>
      </c>
      <c r="K20" s="13">
        <v>15.6</v>
      </c>
      <c r="L20" s="13">
        <v>13.2</v>
      </c>
      <c r="M20" s="13">
        <v>8.1</v>
      </c>
      <c r="O20">
        <v>2010</v>
      </c>
      <c r="P20" s="16">
        <v>249.4</v>
      </c>
      <c r="Q20" s="16">
        <v>136.30000000000001</v>
      </c>
      <c r="R20" s="16">
        <v>56</v>
      </c>
      <c r="S20" s="16">
        <v>59.4</v>
      </c>
      <c r="T20" s="16">
        <v>141.5</v>
      </c>
      <c r="U20" s="16">
        <v>79</v>
      </c>
      <c r="V20" s="16">
        <v>36.6</v>
      </c>
      <c r="W20" s="16">
        <v>29.2</v>
      </c>
      <c r="X20" s="16">
        <v>145.80000000000001</v>
      </c>
      <c r="Y20" s="16">
        <v>57.9</v>
      </c>
      <c r="Z20" s="16">
        <v>275.60000000000002</v>
      </c>
      <c r="AA20" s="16">
        <v>85.4</v>
      </c>
    </row>
    <row r="21" spans="1:27" x14ac:dyDescent="0.25">
      <c r="A21">
        <v>2011</v>
      </c>
      <c r="B21" s="13">
        <v>7.9</v>
      </c>
      <c r="C21" s="13">
        <v>8.8000000000000007</v>
      </c>
      <c r="D21" s="13">
        <v>10.8</v>
      </c>
      <c r="E21" s="13">
        <v>16.3</v>
      </c>
      <c r="F21" s="13">
        <v>20.2</v>
      </c>
      <c r="G21" s="13">
        <v>24</v>
      </c>
      <c r="H21" s="13">
        <v>24.4</v>
      </c>
      <c r="I21" s="13">
        <v>26.1</v>
      </c>
      <c r="J21" s="13">
        <v>24</v>
      </c>
      <c r="K21" s="13">
        <v>16</v>
      </c>
      <c r="L21" s="13">
        <v>12.2</v>
      </c>
      <c r="M21" s="13">
        <v>10.4</v>
      </c>
      <c r="O21">
        <v>2011</v>
      </c>
      <c r="P21" s="16">
        <v>21.4</v>
      </c>
      <c r="Q21" s="16">
        <v>9.1</v>
      </c>
      <c r="R21" s="16">
        <v>49</v>
      </c>
      <c r="S21" s="16">
        <v>11.8</v>
      </c>
      <c r="T21" s="16">
        <v>23.5</v>
      </c>
      <c r="U21" s="16">
        <v>37.700000000000003</v>
      </c>
      <c r="V21" s="16">
        <v>130.1</v>
      </c>
      <c r="W21" s="16">
        <v>12.2</v>
      </c>
      <c r="X21" s="16">
        <v>63.5</v>
      </c>
      <c r="Y21" s="16">
        <v>98.9</v>
      </c>
      <c r="Z21" s="16">
        <v>23</v>
      </c>
      <c r="AA21" s="16">
        <v>109.4</v>
      </c>
    </row>
    <row r="22" spans="1:27" x14ac:dyDescent="0.25">
      <c r="A22">
        <v>2012</v>
      </c>
      <c r="B22" s="13">
        <v>7.7</v>
      </c>
      <c r="C22" s="13">
        <v>5</v>
      </c>
      <c r="D22" s="13">
        <v>13.2</v>
      </c>
      <c r="E22" s="13">
        <v>14.2</v>
      </c>
      <c r="F22" s="13">
        <v>18.5</v>
      </c>
      <c r="G22" s="13">
        <v>24.9</v>
      </c>
      <c r="H22" s="13">
        <v>27.7</v>
      </c>
      <c r="I22" s="13">
        <v>27.2</v>
      </c>
      <c r="J22" s="13">
        <v>21.7</v>
      </c>
      <c r="K22" s="13">
        <v>17.399999999999999</v>
      </c>
      <c r="L22" s="13">
        <v>14.4</v>
      </c>
      <c r="M22" s="13">
        <v>8.6</v>
      </c>
      <c r="O22">
        <v>2012</v>
      </c>
      <c r="P22" s="16">
        <v>32.799999999999997</v>
      </c>
      <c r="Q22" s="16">
        <v>10.9</v>
      </c>
      <c r="R22" s="16">
        <v>2.2999999999999998</v>
      </c>
      <c r="S22" s="16">
        <v>67.900000000000006</v>
      </c>
      <c r="T22" s="16">
        <v>54.4</v>
      </c>
      <c r="U22" s="16">
        <v>35.1</v>
      </c>
      <c r="V22" s="16">
        <v>9.9</v>
      </c>
      <c r="W22" s="16">
        <v>19</v>
      </c>
      <c r="X22" s="16">
        <v>140.4</v>
      </c>
      <c r="Y22" s="16">
        <v>200.8</v>
      </c>
      <c r="Z22" s="16">
        <v>273.7</v>
      </c>
      <c r="AA22" s="16">
        <v>114.7</v>
      </c>
    </row>
    <row r="23" spans="1:27" x14ac:dyDescent="0.25">
      <c r="A23">
        <v>2013</v>
      </c>
      <c r="B23" s="13">
        <v>8.4</v>
      </c>
      <c r="C23" s="13">
        <v>7.5</v>
      </c>
      <c r="D23" s="13">
        <v>9.6999999999999993</v>
      </c>
      <c r="E23" s="13">
        <v>15</v>
      </c>
      <c r="F23" s="13">
        <v>17.399999999999999</v>
      </c>
      <c r="G23" s="13">
        <v>22.4</v>
      </c>
      <c r="H23" s="13">
        <v>26.4</v>
      </c>
      <c r="I23" s="13">
        <v>25.9</v>
      </c>
      <c r="J23" s="13">
        <v>20.6</v>
      </c>
      <c r="K23" s="13">
        <v>17.2</v>
      </c>
      <c r="L23" s="13">
        <v>13.2</v>
      </c>
      <c r="M23" s="13">
        <v>10.9</v>
      </c>
      <c r="O23">
        <v>2013</v>
      </c>
      <c r="P23" s="16">
        <v>331.6</v>
      </c>
      <c r="Q23" s="16">
        <v>100.2</v>
      </c>
      <c r="R23" s="16">
        <v>112.7</v>
      </c>
      <c r="S23" s="16">
        <v>106.9</v>
      </c>
      <c r="T23" s="16">
        <v>138.9</v>
      </c>
      <c r="U23" s="16">
        <v>55.1</v>
      </c>
      <c r="V23" s="16">
        <v>3.3</v>
      </c>
      <c r="W23" s="16">
        <v>80.900000000000006</v>
      </c>
      <c r="X23" s="16">
        <v>182.4</v>
      </c>
      <c r="Y23" s="16">
        <v>130.19999999999999</v>
      </c>
      <c r="Z23" s="16">
        <v>153.4</v>
      </c>
      <c r="AA23" s="16">
        <v>6.1</v>
      </c>
    </row>
    <row r="24" spans="1:27" x14ac:dyDescent="0.25">
      <c r="A24">
        <v>2014</v>
      </c>
      <c r="B24" s="13">
        <v>11.1</v>
      </c>
      <c r="C24" s="13">
        <v>11.2</v>
      </c>
      <c r="D24" s="13">
        <v>12.5</v>
      </c>
      <c r="E24" s="13">
        <v>15.1</v>
      </c>
      <c r="F24" s="13">
        <v>17.600000000000001</v>
      </c>
      <c r="G24" s="13">
        <v>23.2</v>
      </c>
      <c r="H24" s="13">
        <v>23.6</v>
      </c>
      <c r="I24" s="13">
        <v>23.7</v>
      </c>
      <c r="J24" s="13">
        <v>19.5</v>
      </c>
      <c r="K24" s="13">
        <v>17.600000000000001</v>
      </c>
      <c r="L24" s="13">
        <v>15</v>
      </c>
      <c r="M24" s="13">
        <v>10.199999999999999</v>
      </c>
      <c r="O24">
        <v>2014</v>
      </c>
      <c r="P24" s="16">
        <v>137.80000000000001</v>
      </c>
      <c r="Q24" s="16">
        <v>242.7</v>
      </c>
      <c r="R24" s="16">
        <v>31.3</v>
      </c>
      <c r="S24" s="16">
        <v>87</v>
      </c>
      <c r="T24" s="16">
        <v>76.7</v>
      </c>
      <c r="U24" s="16">
        <v>72.099999999999994</v>
      </c>
      <c r="V24" s="16">
        <v>198.2</v>
      </c>
      <c r="W24" s="16">
        <v>141</v>
      </c>
      <c r="X24" s="16">
        <v>248.2</v>
      </c>
      <c r="Y24" s="16">
        <v>62.5</v>
      </c>
      <c r="Z24" s="16">
        <v>174.1</v>
      </c>
      <c r="AA24" s="16">
        <v>129.5</v>
      </c>
    </row>
    <row r="25" spans="1:27" x14ac:dyDescent="0.25">
      <c r="A25">
        <v>2015</v>
      </c>
      <c r="B25" s="13">
        <v>9.4</v>
      </c>
      <c r="C25" s="13">
        <v>8.3000000000000007</v>
      </c>
      <c r="D25" s="13">
        <v>11.2</v>
      </c>
      <c r="E25" s="13">
        <v>13.9</v>
      </c>
      <c r="F25" s="13">
        <v>19.600000000000001</v>
      </c>
      <c r="G25" s="13">
        <v>24.1</v>
      </c>
      <c r="H25" s="13">
        <v>27.8</v>
      </c>
      <c r="I25" s="13">
        <v>26.1</v>
      </c>
      <c r="J25" s="13">
        <v>21.6</v>
      </c>
      <c r="K25" s="13">
        <v>16.100000000000001</v>
      </c>
      <c r="L25" s="13">
        <v>12.1</v>
      </c>
      <c r="M25" s="13">
        <v>10</v>
      </c>
      <c r="O25">
        <v>2015</v>
      </c>
      <c r="P25" s="16">
        <v>85.9</v>
      </c>
      <c r="Q25" s="16">
        <v>94.7</v>
      </c>
      <c r="R25" s="16">
        <v>12.2</v>
      </c>
      <c r="S25" s="16">
        <v>31.6</v>
      </c>
      <c r="T25" s="16">
        <v>25.2</v>
      </c>
      <c r="U25" s="16">
        <v>33.799999999999997</v>
      </c>
      <c r="V25" s="16">
        <v>54.7</v>
      </c>
      <c r="W25" s="16">
        <v>71</v>
      </c>
      <c r="X25" s="16">
        <v>122.4</v>
      </c>
      <c r="Y25" s="16">
        <v>235</v>
      </c>
      <c r="Z25" s="16">
        <v>64.7</v>
      </c>
      <c r="AA25" s="16">
        <v>0</v>
      </c>
    </row>
    <row r="26" spans="1:27" x14ac:dyDescent="0.25">
      <c r="A26">
        <v>2016</v>
      </c>
      <c r="B26" s="13">
        <v>8.6</v>
      </c>
      <c r="C26" s="13">
        <v>11</v>
      </c>
      <c r="D26" s="13">
        <v>11</v>
      </c>
      <c r="E26" s="13">
        <v>14.9</v>
      </c>
      <c r="F26" s="13">
        <v>17.600000000000001</v>
      </c>
      <c r="G26" s="13">
        <v>23.2</v>
      </c>
      <c r="H26" s="13">
        <v>26.2</v>
      </c>
      <c r="I26" s="13">
        <v>24.7</v>
      </c>
      <c r="J26" s="13">
        <v>21.6</v>
      </c>
      <c r="K26" s="13">
        <v>16.100000000000001</v>
      </c>
      <c r="L26" s="13">
        <v>12.5</v>
      </c>
      <c r="M26" s="13">
        <v>8.9</v>
      </c>
      <c r="O26">
        <v>2016</v>
      </c>
      <c r="P26" s="13">
        <v>128.19999999999999</v>
      </c>
      <c r="Q26" s="13">
        <v>192.2</v>
      </c>
      <c r="R26" s="13">
        <v>67.900000000000006</v>
      </c>
      <c r="S26" s="13">
        <v>53.5</v>
      </c>
      <c r="T26" s="13">
        <v>120.9</v>
      </c>
      <c r="U26" s="13">
        <v>41</v>
      </c>
      <c r="V26" s="13">
        <v>14.3</v>
      </c>
      <c r="W26" s="13">
        <v>55.2</v>
      </c>
      <c r="X26" s="13">
        <v>80.099999999999994</v>
      </c>
      <c r="Y26" s="13">
        <v>133</v>
      </c>
      <c r="Z26" s="13">
        <v>193</v>
      </c>
      <c r="AA26" s="13">
        <v>1.3</v>
      </c>
    </row>
    <row r="27" spans="1:27" x14ac:dyDescent="0.25">
      <c r="A27">
        <v>2017</v>
      </c>
      <c r="B27" s="13">
        <v>4.8</v>
      </c>
      <c r="C27" s="13">
        <v>9.5</v>
      </c>
      <c r="D27" s="13">
        <v>12.5</v>
      </c>
      <c r="E27" s="13">
        <v>14.1</v>
      </c>
      <c r="F27" s="13">
        <v>18.899999999999999</v>
      </c>
      <c r="G27" s="13">
        <v>24.4</v>
      </c>
      <c r="H27" s="13">
        <v>25.9</v>
      </c>
      <c r="I27" s="13">
        <v>26.9</v>
      </c>
      <c r="J27" s="13">
        <v>19</v>
      </c>
      <c r="K27" s="13">
        <v>16.100000000000001</v>
      </c>
      <c r="L27" s="13">
        <v>12.2</v>
      </c>
      <c r="M27" s="13">
        <v>8.6</v>
      </c>
      <c r="O27">
        <v>2017</v>
      </c>
      <c r="P27" s="13">
        <v>52.6</v>
      </c>
      <c r="Q27" s="13">
        <v>90.9</v>
      </c>
      <c r="R27" s="13">
        <v>62.6</v>
      </c>
      <c r="S27" s="13">
        <v>70.3</v>
      </c>
      <c r="T27" s="13">
        <v>72.7</v>
      </c>
      <c r="U27" s="13">
        <v>42.7</v>
      </c>
      <c r="V27" s="13">
        <v>52.1</v>
      </c>
      <c r="W27" s="13">
        <v>6.1</v>
      </c>
      <c r="X27" s="13">
        <v>557.70000000000005</v>
      </c>
      <c r="Y27" s="13">
        <v>77.099999999999994</v>
      </c>
      <c r="Z27" s="13">
        <v>170.3</v>
      </c>
      <c r="AA27" s="13">
        <v>163.80000000000001</v>
      </c>
    </row>
    <row r="28" spans="1:27" x14ac:dyDescent="0.25">
      <c r="A28">
        <v>2018</v>
      </c>
      <c r="B28" s="13">
        <v>10</v>
      </c>
      <c r="C28" s="13">
        <v>6</v>
      </c>
      <c r="D28" s="13">
        <v>9.6999999999999993</v>
      </c>
      <c r="E28" s="13">
        <v>17</v>
      </c>
      <c r="F28" s="13">
        <v>21.4</v>
      </c>
      <c r="G28" s="13">
        <v>23.8</v>
      </c>
      <c r="H28" s="13">
        <v>26.2</v>
      </c>
      <c r="I28" s="13">
        <v>27.1</v>
      </c>
      <c r="J28" s="13">
        <v>21.8</v>
      </c>
      <c r="K28" s="13">
        <v>18.100000000000001</v>
      </c>
      <c r="L28" s="13">
        <v>13.6</v>
      </c>
      <c r="M28" s="13">
        <v>9.3000000000000007</v>
      </c>
      <c r="O28">
        <v>2018</v>
      </c>
      <c r="P28" s="13">
        <v>122.4</v>
      </c>
      <c r="Q28" s="13">
        <v>161.69999999999999</v>
      </c>
      <c r="R28" s="13">
        <v>167.4</v>
      </c>
      <c r="S28" s="13">
        <v>78.3</v>
      </c>
      <c r="T28" s="13">
        <v>111.9</v>
      </c>
      <c r="U28" s="13">
        <v>47.4</v>
      </c>
      <c r="V28" s="13">
        <v>20.3</v>
      </c>
      <c r="W28" s="13">
        <v>74.7</v>
      </c>
      <c r="X28" s="13">
        <v>64.5</v>
      </c>
      <c r="Y28" s="13">
        <v>102.2</v>
      </c>
      <c r="Z28" s="13">
        <v>120.4</v>
      </c>
      <c r="AA28" s="13">
        <v>60</v>
      </c>
    </row>
    <row r="29" spans="1:27" x14ac:dyDescent="0.25">
      <c r="A29">
        <v>2019</v>
      </c>
      <c r="B29" s="13">
        <v>7</v>
      </c>
      <c r="C29" s="13">
        <v>9.6999999999999993</v>
      </c>
      <c r="D29" s="13">
        <v>12.4</v>
      </c>
      <c r="E29" s="13">
        <v>15.1</v>
      </c>
      <c r="F29" s="13">
        <v>15.8</v>
      </c>
      <c r="G29" s="13">
        <v>25.4</v>
      </c>
      <c r="H29" s="13">
        <v>25.9</v>
      </c>
      <c r="I29" s="13">
        <v>26.3</v>
      </c>
      <c r="J29" s="13">
        <v>21.5</v>
      </c>
      <c r="K29" s="13">
        <v>17.600000000000001</v>
      </c>
      <c r="L29" s="13">
        <v>14.5</v>
      </c>
      <c r="M29" s="13">
        <v>11</v>
      </c>
      <c r="O29">
        <v>2019</v>
      </c>
      <c r="P29" s="13">
        <v>46.5</v>
      </c>
      <c r="Q29" s="13">
        <v>41.6</v>
      </c>
      <c r="R29" s="13">
        <v>58</v>
      </c>
      <c r="S29" s="13">
        <v>94.2</v>
      </c>
      <c r="T29" s="13">
        <v>192.3</v>
      </c>
      <c r="U29" s="13">
        <v>14.8</v>
      </c>
      <c r="V29" s="13">
        <v>151</v>
      </c>
      <c r="W29" s="13">
        <v>16.5</v>
      </c>
      <c r="X29" s="13">
        <v>160.19999999999999</v>
      </c>
      <c r="Y29" s="13">
        <v>61.1</v>
      </c>
      <c r="Z29" s="13">
        <v>317.10000000000002</v>
      </c>
      <c r="AA29" s="13">
        <v>151.30000000000001</v>
      </c>
    </row>
    <row r="30" spans="1:27" x14ac:dyDescent="0.25">
      <c r="A30">
        <v>2020</v>
      </c>
      <c r="B30" s="13">
        <v>9.4</v>
      </c>
      <c r="C30" s="13">
        <v>11</v>
      </c>
      <c r="D30" s="13">
        <v>11.3</v>
      </c>
      <c r="E30" s="13">
        <v>15.5</v>
      </c>
      <c r="F30" s="13">
        <v>19.3</v>
      </c>
      <c r="G30" s="13">
        <v>22.3</v>
      </c>
      <c r="H30" s="13">
        <v>25.6</v>
      </c>
      <c r="I30" s="13">
        <v>26.6</v>
      </c>
      <c r="J30" s="13">
        <v>22.3</v>
      </c>
      <c r="K30" s="13">
        <v>16.100000000000001</v>
      </c>
      <c r="L30" s="13">
        <v>12.8</v>
      </c>
      <c r="M30" s="13">
        <v>10.7</v>
      </c>
      <c r="O30">
        <v>2020</v>
      </c>
      <c r="P30" s="13">
        <v>11.2</v>
      </c>
      <c r="Q30" s="13">
        <v>23.1</v>
      </c>
      <c r="R30" s="13">
        <v>26.3</v>
      </c>
      <c r="S30" s="13">
        <v>10.9</v>
      </c>
      <c r="T30" s="13">
        <v>22</v>
      </c>
      <c r="U30" s="13">
        <v>70.2</v>
      </c>
      <c r="V30" s="13">
        <v>44.5</v>
      </c>
      <c r="W30" s="13">
        <v>43.7</v>
      </c>
      <c r="X30" s="13">
        <v>219.8</v>
      </c>
      <c r="Y30" s="13">
        <v>454.7</v>
      </c>
      <c r="Z30" s="13">
        <v>63.9</v>
      </c>
      <c r="AA30" s="13">
        <v>170.9</v>
      </c>
    </row>
    <row r="31" spans="1:27" x14ac:dyDescent="0.25">
      <c r="A31">
        <v>2021</v>
      </c>
      <c r="B31" s="13">
        <v>8</v>
      </c>
      <c r="C31" s="13">
        <v>10.1</v>
      </c>
      <c r="D31" s="13">
        <v>10.4</v>
      </c>
      <c r="E31" s="13">
        <v>12.5</v>
      </c>
      <c r="F31" s="13">
        <v>17.7</v>
      </c>
      <c r="G31" s="13">
        <v>24.8</v>
      </c>
      <c r="H31" s="13">
        <v>26.5</v>
      </c>
      <c r="I31" s="13">
        <v>25.5</v>
      </c>
      <c r="J31" s="13">
        <v>21.9</v>
      </c>
      <c r="K31" s="13">
        <v>15.7</v>
      </c>
      <c r="L31" s="13">
        <v>13.4</v>
      </c>
      <c r="M31" s="13">
        <v>9.8000000000000007</v>
      </c>
      <c r="O31">
        <v>2021</v>
      </c>
      <c r="P31" s="13">
        <v>166.2</v>
      </c>
      <c r="Q31" s="13">
        <v>91.6</v>
      </c>
      <c r="R31" s="13">
        <v>26.2</v>
      </c>
      <c r="S31" s="13">
        <v>83.3</v>
      </c>
      <c r="T31" s="13">
        <v>54.6</v>
      </c>
      <c r="U31" s="13">
        <v>14.3</v>
      </c>
      <c r="V31" s="13">
        <v>55.5</v>
      </c>
      <c r="W31" s="13">
        <v>64.900000000000006</v>
      </c>
      <c r="X31" s="13">
        <v>175.6</v>
      </c>
      <c r="Y31" s="13">
        <v>49.2</v>
      </c>
      <c r="Z31" s="13">
        <v>164.8</v>
      </c>
      <c r="AA31" s="13">
        <v>134.69999999999999</v>
      </c>
    </row>
    <row r="32" spans="1:27" x14ac:dyDescent="0.25">
      <c r="A32">
        <v>2022</v>
      </c>
      <c r="B32" s="13">
        <v>8.3000000000000007</v>
      </c>
      <c r="C32" s="13">
        <v>9.6</v>
      </c>
      <c r="D32" s="13">
        <v>10</v>
      </c>
      <c r="E32" s="13">
        <v>13.4</v>
      </c>
      <c r="F32" s="13">
        <v>20.399999999999999</v>
      </c>
      <c r="G32" s="13">
        <v>25.6</v>
      </c>
      <c r="H32" s="13">
        <v>27.6</v>
      </c>
      <c r="I32" s="13">
        <v>27</v>
      </c>
      <c r="J32" s="13">
        <v>21.1</v>
      </c>
      <c r="K32" s="13">
        <v>18.8</v>
      </c>
      <c r="L32" s="13">
        <v>13.8</v>
      </c>
      <c r="M32" s="13">
        <v>11.5</v>
      </c>
      <c r="O32">
        <v>2022</v>
      </c>
      <c r="P32" s="13">
        <v>14.1</v>
      </c>
      <c r="Q32" s="13">
        <v>80.5</v>
      </c>
      <c r="R32" s="13">
        <v>16.8</v>
      </c>
      <c r="S32" s="13">
        <v>87.3</v>
      </c>
      <c r="T32" s="13">
        <v>60.5</v>
      </c>
      <c r="U32" s="13">
        <v>31.2</v>
      </c>
      <c r="V32" s="13">
        <v>8</v>
      </c>
      <c r="W32" s="13">
        <v>0.8</v>
      </c>
      <c r="X32" s="13">
        <v>131.4</v>
      </c>
      <c r="Y32" s="13">
        <v>43.6</v>
      </c>
      <c r="Z32" s="13">
        <v>175.7</v>
      </c>
      <c r="AA32" s="13">
        <v>190.3</v>
      </c>
    </row>
    <row r="33" spans="1:27" x14ac:dyDescent="0.25">
      <c r="A33">
        <v>2023</v>
      </c>
      <c r="B33">
        <v>9.9</v>
      </c>
      <c r="C33">
        <v>8.9</v>
      </c>
      <c r="D33">
        <v>12</v>
      </c>
      <c r="E33">
        <v>13.3</v>
      </c>
      <c r="F33">
        <v>19.600000000000001</v>
      </c>
      <c r="G33">
        <v>24.1</v>
      </c>
      <c r="H33">
        <v>26.8</v>
      </c>
      <c r="I33">
        <v>26</v>
      </c>
      <c r="J33">
        <v>23.6</v>
      </c>
      <c r="K33">
        <v>20</v>
      </c>
      <c r="L33">
        <v>14.1</v>
      </c>
      <c r="M33">
        <v>11.7</v>
      </c>
      <c r="O33">
        <v>2023</v>
      </c>
      <c r="P33">
        <v>120.9</v>
      </c>
      <c r="Q33">
        <v>64.5</v>
      </c>
      <c r="R33">
        <v>67.599999999999994</v>
      </c>
      <c r="S33">
        <v>96</v>
      </c>
      <c r="T33">
        <v>110.6</v>
      </c>
      <c r="U33">
        <v>49</v>
      </c>
      <c r="V33">
        <v>131</v>
      </c>
      <c r="W33">
        <v>159</v>
      </c>
      <c r="X33">
        <v>21.5</v>
      </c>
      <c r="Y33">
        <v>106.7</v>
      </c>
      <c r="Z33">
        <v>197.7</v>
      </c>
      <c r="AA33">
        <v>74.8</v>
      </c>
    </row>
    <row r="34" spans="1:27" x14ac:dyDescent="0.25">
      <c r="A34">
        <v>2024</v>
      </c>
      <c r="B34">
        <v>9.9</v>
      </c>
      <c r="C34">
        <v>12.1</v>
      </c>
      <c r="D34">
        <v>13.3</v>
      </c>
      <c r="E34">
        <v>15.9</v>
      </c>
      <c r="F34">
        <v>19.7</v>
      </c>
      <c r="G34">
        <v>24.1</v>
      </c>
      <c r="H34">
        <v>27.9</v>
      </c>
      <c r="I34">
        <v>28.3</v>
      </c>
      <c r="J34">
        <v>21.6</v>
      </c>
      <c r="K34">
        <v>18.2</v>
      </c>
      <c r="L34">
        <v>12.5</v>
      </c>
      <c r="M34">
        <v>9.6999999999999993</v>
      </c>
      <c r="O34">
        <v>2024</v>
      </c>
      <c r="P34">
        <v>69.5</v>
      </c>
      <c r="Q34">
        <v>82.7</v>
      </c>
      <c r="R34">
        <v>101</v>
      </c>
      <c r="S34">
        <v>73</v>
      </c>
      <c r="T34">
        <v>90.5</v>
      </c>
      <c r="U34">
        <v>121.8</v>
      </c>
      <c r="V34">
        <v>31.2</v>
      </c>
      <c r="W34">
        <v>59.8</v>
      </c>
      <c r="X34">
        <v>198</v>
      </c>
      <c r="Y34">
        <v>114.9</v>
      </c>
      <c r="Z34">
        <v>91.7</v>
      </c>
      <c r="AA34">
        <v>51.8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  <row r="63" spans="14:14" x14ac:dyDescent="0.25">
      <c r="N63" s="2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1BEF-75DE-4773-86E2-123E2BDA2873}">
  <dimension ref="A1:AA40"/>
  <sheetViews>
    <sheetView topLeftCell="A17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6.2866666666666662</v>
      </c>
      <c r="C2" s="4">
        <f t="shared" ref="C2:L2" si="0">AVERAGE(C5:C46)</f>
        <v>6.98</v>
      </c>
      <c r="D2" s="4">
        <f t="shared" si="0"/>
        <v>9.6533333333333342</v>
      </c>
      <c r="E2" s="4">
        <f t="shared" si="0"/>
        <v>13.4</v>
      </c>
      <c r="F2" s="4">
        <f t="shared" si="0"/>
        <v>17.896666666666665</v>
      </c>
      <c r="G2" s="4">
        <f t="shared" si="0"/>
        <v>22.423333333333328</v>
      </c>
      <c r="H2" s="4">
        <f t="shared" si="0"/>
        <v>24.786666666666669</v>
      </c>
      <c r="I2" s="4">
        <f t="shared" si="0"/>
        <v>24.626666666666665</v>
      </c>
      <c r="J2" s="4">
        <f t="shared" si="0"/>
        <v>19.506666666666671</v>
      </c>
      <c r="K2" s="4">
        <f t="shared" si="0"/>
        <v>15.256666666666664</v>
      </c>
      <c r="L2" s="4">
        <f t="shared" si="0"/>
        <v>10.953333333333335</v>
      </c>
      <c r="M2" s="4">
        <f>AVERAGE(M5:M46)</f>
        <v>7.5366666666666644</v>
      </c>
      <c r="O2" s="30"/>
      <c r="P2" s="4">
        <f>AVERAGE(P5:P46)</f>
        <v>138.1933333333333</v>
      </c>
      <c r="Q2" s="4">
        <f t="shared" ref="Q2:Z2" si="1">AVERAGE(Q5:Q46)</f>
        <v>134.29666666666665</v>
      </c>
      <c r="R2" s="4">
        <f t="shared" si="1"/>
        <v>111.09666666666666</v>
      </c>
      <c r="S2" s="4">
        <f t="shared" si="1"/>
        <v>102.24000000000001</v>
      </c>
      <c r="T2" s="4">
        <f t="shared" si="1"/>
        <v>120.05666666666666</v>
      </c>
      <c r="U2" s="4">
        <f t="shared" si="1"/>
        <v>80.7</v>
      </c>
      <c r="V2" s="4">
        <f t="shared" si="1"/>
        <v>75.026666666666657</v>
      </c>
      <c r="W2" s="4">
        <f t="shared" si="1"/>
        <v>93.606666666666669</v>
      </c>
      <c r="X2" s="4">
        <f t="shared" si="1"/>
        <v>196.42999999999998</v>
      </c>
      <c r="Y2" s="4">
        <f t="shared" si="1"/>
        <v>198.83333333333329</v>
      </c>
      <c r="Z2" s="4">
        <f t="shared" si="1"/>
        <v>205.9666666666667</v>
      </c>
      <c r="AA2" s="4">
        <f>AVERAGE(AA5:AA46)</f>
        <v>177.43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5.0999999999999996</v>
      </c>
      <c r="C5" s="2">
        <v>8.4</v>
      </c>
      <c r="D5" s="2">
        <v>7.6</v>
      </c>
      <c r="E5" s="2">
        <v>11.5</v>
      </c>
      <c r="F5" s="2">
        <v>16.2</v>
      </c>
      <c r="G5" s="2">
        <v>19</v>
      </c>
      <c r="H5" s="2">
        <v>25.4</v>
      </c>
      <c r="I5" s="2">
        <v>21.9</v>
      </c>
      <c r="J5" s="2">
        <v>16.899999999999999</v>
      </c>
      <c r="K5" s="2">
        <v>15.8</v>
      </c>
      <c r="L5" s="2">
        <v>9.1999999999999993</v>
      </c>
      <c r="M5" s="2">
        <v>6.4</v>
      </c>
      <c r="O5">
        <v>1995</v>
      </c>
      <c r="P5">
        <v>185.7</v>
      </c>
      <c r="Q5">
        <v>231.7</v>
      </c>
      <c r="R5">
        <v>194.9</v>
      </c>
      <c r="S5">
        <v>47.7</v>
      </c>
      <c r="T5">
        <v>259.89999999999998</v>
      </c>
      <c r="U5">
        <v>161.4</v>
      </c>
      <c r="V5">
        <v>52.6</v>
      </c>
      <c r="W5">
        <v>149.4</v>
      </c>
      <c r="X5">
        <v>241.7</v>
      </c>
      <c r="Y5">
        <v>75.3</v>
      </c>
      <c r="Z5">
        <v>167.5</v>
      </c>
      <c r="AA5">
        <v>203.8</v>
      </c>
    </row>
    <row r="6" spans="1:27" x14ac:dyDescent="0.25">
      <c r="A6">
        <v>1996</v>
      </c>
      <c r="B6" s="2">
        <v>5.5</v>
      </c>
      <c r="C6" s="2">
        <v>4.0999999999999996</v>
      </c>
      <c r="D6" s="2">
        <v>6.6</v>
      </c>
      <c r="E6" s="2">
        <v>12.9</v>
      </c>
      <c r="F6" s="2">
        <v>17.2</v>
      </c>
      <c r="G6" s="2">
        <v>21.5</v>
      </c>
      <c r="H6" s="2">
        <v>21.9</v>
      </c>
      <c r="I6" s="2">
        <v>22.8</v>
      </c>
      <c r="J6" s="2">
        <v>15.7</v>
      </c>
      <c r="K6" s="2">
        <v>14.1</v>
      </c>
      <c r="L6" s="2">
        <v>11.1</v>
      </c>
      <c r="M6" s="2">
        <v>6.2</v>
      </c>
      <c r="O6">
        <v>1996</v>
      </c>
      <c r="P6">
        <v>175.4</v>
      </c>
      <c r="Q6">
        <v>122.5</v>
      </c>
      <c r="R6">
        <v>5.9</v>
      </c>
      <c r="S6">
        <v>141.80000000000001</v>
      </c>
      <c r="T6">
        <v>129.9</v>
      </c>
      <c r="U6">
        <v>99.9</v>
      </c>
      <c r="V6">
        <v>68.599999999999994</v>
      </c>
      <c r="W6">
        <v>116.6</v>
      </c>
      <c r="X6">
        <v>162.1</v>
      </c>
      <c r="Y6">
        <v>342.2</v>
      </c>
      <c r="Z6">
        <v>301</v>
      </c>
      <c r="AA6">
        <v>263.5</v>
      </c>
    </row>
    <row r="7" spans="1:27" x14ac:dyDescent="0.25">
      <c r="A7">
        <v>1997</v>
      </c>
      <c r="B7" s="2">
        <v>6.8</v>
      </c>
      <c r="C7" s="2">
        <v>7.5</v>
      </c>
      <c r="D7" s="2">
        <v>10.7</v>
      </c>
      <c r="E7" s="2">
        <v>9.6</v>
      </c>
      <c r="F7" s="2">
        <v>17.399999999999999</v>
      </c>
      <c r="G7" s="2">
        <v>21</v>
      </c>
      <c r="H7" s="2">
        <v>22.3</v>
      </c>
      <c r="I7" s="2">
        <v>22.9</v>
      </c>
      <c r="J7" s="2">
        <v>19.8</v>
      </c>
      <c r="K7" s="2">
        <v>12.8</v>
      </c>
      <c r="L7" s="2">
        <v>10</v>
      </c>
      <c r="M7" s="2">
        <v>7.7</v>
      </c>
      <c r="O7">
        <v>1997</v>
      </c>
      <c r="P7">
        <v>230.9</v>
      </c>
      <c r="Q7">
        <v>51.3</v>
      </c>
      <c r="R7">
        <v>52.1</v>
      </c>
      <c r="S7">
        <v>68</v>
      </c>
      <c r="T7">
        <v>100.5</v>
      </c>
      <c r="U7">
        <v>81</v>
      </c>
      <c r="V7">
        <v>75.8</v>
      </c>
      <c r="W7">
        <v>67.599999999999994</v>
      </c>
      <c r="X7">
        <v>48.5</v>
      </c>
      <c r="Y7">
        <v>117.3</v>
      </c>
      <c r="Z7">
        <v>271.8</v>
      </c>
      <c r="AA7">
        <v>265.10000000000002</v>
      </c>
    </row>
    <row r="8" spans="1:27" x14ac:dyDescent="0.25">
      <c r="A8">
        <v>1998</v>
      </c>
      <c r="B8" s="2">
        <v>6.8</v>
      </c>
      <c r="C8" s="2">
        <v>9.1999999999999993</v>
      </c>
      <c r="D8" s="2">
        <v>8.1</v>
      </c>
      <c r="E8" s="2">
        <v>12.2</v>
      </c>
      <c r="F8" s="2">
        <v>17.899999999999999</v>
      </c>
      <c r="G8" s="2">
        <v>21.5</v>
      </c>
      <c r="H8" s="2">
        <v>24</v>
      </c>
      <c r="I8" s="2">
        <v>25.2</v>
      </c>
      <c r="J8" s="2">
        <v>18.2</v>
      </c>
      <c r="K8" s="2">
        <v>14.5</v>
      </c>
      <c r="L8" s="2">
        <v>7.9</v>
      </c>
      <c r="M8" s="2">
        <v>5.4</v>
      </c>
      <c r="O8">
        <v>1998</v>
      </c>
      <c r="P8">
        <v>147.4</v>
      </c>
      <c r="Q8">
        <v>2.7</v>
      </c>
      <c r="R8">
        <v>24.4</v>
      </c>
      <c r="S8">
        <v>197</v>
      </c>
      <c r="T8">
        <v>64.599999999999994</v>
      </c>
      <c r="U8">
        <v>153.6</v>
      </c>
      <c r="V8">
        <v>119.8</v>
      </c>
      <c r="W8">
        <v>112.2</v>
      </c>
      <c r="X8">
        <v>279.5</v>
      </c>
      <c r="Y8">
        <v>526.70000000000005</v>
      </c>
      <c r="Z8">
        <v>106.5</v>
      </c>
      <c r="AA8">
        <v>70.8</v>
      </c>
    </row>
    <row r="9" spans="1:27" x14ac:dyDescent="0.25">
      <c r="A9">
        <v>1999</v>
      </c>
      <c r="B9" s="2">
        <v>7</v>
      </c>
      <c r="C9" s="2">
        <v>5.3</v>
      </c>
      <c r="D9" s="2">
        <v>9.6999999999999993</v>
      </c>
      <c r="E9" s="2">
        <v>12.9</v>
      </c>
      <c r="F9" s="2">
        <v>17.899999999999999</v>
      </c>
      <c r="G9" s="2">
        <v>21.5</v>
      </c>
      <c r="H9" s="2">
        <v>23.5</v>
      </c>
      <c r="I9" s="2">
        <v>24.1</v>
      </c>
      <c r="J9" s="2">
        <v>21.1</v>
      </c>
      <c r="K9" s="2">
        <v>15.2</v>
      </c>
      <c r="L9" s="2">
        <v>8.6999999999999993</v>
      </c>
      <c r="M9" s="2">
        <v>6.6</v>
      </c>
      <c r="O9">
        <v>1999</v>
      </c>
      <c r="P9">
        <v>91.1</v>
      </c>
      <c r="Q9">
        <v>78.8</v>
      </c>
      <c r="R9">
        <v>137.69999999999999</v>
      </c>
      <c r="S9">
        <v>232.1</v>
      </c>
      <c r="T9">
        <v>114.3</v>
      </c>
      <c r="U9">
        <v>92.9</v>
      </c>
      <c r="V9">
        <v>66.3</v>
      </c>
      <c r="W9">
        <v>29.2</v>
      </c>
      <c r="X9">
        <v>81.599999999999994</v>
      </c>
      <c r="Y9">
        <v>142.6</v>
      </c>
      <c r="Z9">
        <v>104.1</v>
      </c>
      <c r="AA9">
        <v>272.60000000000002</v>
      </c>
    </row>
    <row r="10" spans="1:27" x14ac:dyDescent="0.25">
      <c r="A10">
        <v>2000</v>
      </c>
      <c r="B10" s="2">
        <v>4.5999999999999996</v>
      </c>
      <c r="C10" s="2">
        <v>7.4</v>
      </c>
      <c r="D10" s="2">
        <v>9</v>
      </c>
      <c r="E10" s="2">
        <v>14.5</v>
      </c>
      <c r="F10" s="2">
        <v>19.2</v>
      </c>
      <c r="G10" s="2">
        <v>23.1</v>
      </c>
      <c r="H10" s="2">
        <v>22.2</v>
      </c>
      <c r="I10" s="2">
        <v>25.8</v>
      </c>
      <c r="J10" s="2">
        <v>19.600000000000001</v>
      </c>
      <c r="K10" s="2">
        <v>16.5</v>
      </c>
      <c r="L10" s="2">
        <v>12.3</v>
      </c>
      <c r="M10" s="2">
        <v>9.1</v>
      </c>
      <c r="O10">
        <v>2000</v>
      </c>
      <c r="P10">
        <v>3.6</v>
      </c>
      <c r="Q10">
        <v>96.5</v>
      </c>
      <c r="R10">
        <v>187.7</v>
      </c>
      <c r="S10">
        <v>89.8</v>
      </c>
      <c r="T10">
        <v>46.6</v>
      </c>
      <c r="U10">
        <v>22.1</v>
      </c>
      <c r="V10">
        <v>139.9</v>
      </c>
      <c r="W10">
        <v>8.4</v>
      </c>
      <c r="X10">
        <v>114.9</v>
      </c>
      <c r="Y10">
        <v>259.10000000000002</v>
      </c>
      <c r="Z10">
        <v>482.6</v>
      </c>
      <c r="AA10">
        <v>244.7</v>
      </c>
    </row>
    <row r="11" spans="1:27" x14ac:dyDescent="0.25">
      <c r="A11">
        <v>2001</v>
      </c>
      <c r="B11" s="2">
        <v>7.5</v>
      </c>
      <c r="C11" s="2">
        <v>7.7</v>
      </c>
      <c r="D11" s="2">
        <v>11.4</v>
      </c>
      <c r="E11" s="2">
        <v>12.2</v>
      </c>
      <c r="F11" s="2">
        <v>19.5</v>
      </c>
      <c r="G11" s="2">
        <v>20.5</v>
      </c>
      <c r="H11" s="2">
        <v>24.7</v>
      </c>
      <c r="I11" s="2">
        <v>26.4</v>
      </c>
      <c r="J11" s="2">
        <v>16.8</v>
      </c>
      <c r="K11" s="2">
        <v>17.3</v>
      </c>
      <c r="L11" s="2">
        <v>9.1</v>
      </c>
      <c r="M11" s="2">
        <v>4.0999999999999996</v>
      </c>
      <c r="O11">
        <v>2001</v>
      </c>
      <c r="P11">
        <v>332.5</v>
      </c>
      <c r="Q11">
        <v>35.1</v>
      </c>
      <c r="R11">
        <v>241</v>
      </c>
      <c r="S11">
        <v>128.19999999999999</v>
      </c>
      <c r="T11">
        <v>19.600000000000001</v>
      </c>
      <c r="U11">
        <v>76.599999999999994</v>
      </c>
      <c r="V11">
        <v>35.5</v>
      </c>
      <c r="W11">
        <v>1.4</v>
      </c>
      <c r="X11">
        <v>369.3</v>
      </c>
      <c r="Y11">
        <v>50.6</v>
      </c>
      <c r="Z11">
        <v>139.80000000000001</v>
      </c>
      <c r="AA11">
        <v>77.599999999999994</v>
      </c>
    </row>
    <row r="12" spans="1:27" x14ac:dyDescent="0.25">
      <c r="A12">
        <v>2002</v>
      </c>
      <c r="B12" s="6">
        <v>5.4</v>
      </c>
      <c r="C12" s="6">
        <v>7.6</v>
      </c>
      <c r="D12" s="6">
        <v>11.1</v>
      </c>
      <c r="E12" s="6">
        <v>12.7</v>
      </c>
      <c r="F12" s="6">
        <v>18.399999999999999</v>
      </c>
      <c r="G12" s="6">
        <v>22.7</v>
      </c>
      <c r="H12" s="6">
        <v>24</v>
      </c>
      <c r="I12" s="6">
        <v>22.6</v>
      </c>
      <c r="J12" s="6">
        <v>17.899999999999999</v>
      </c>
      <c r="K12" s="6">
        <v>15.2</v>
      </c>
      <c r="L12" s="6">
        <v>12.7</v>
      </c>
      <c r="M12" s="6">
        <v>7.2</v>
      </c>
      <c r="O12">
        <v>2002</v>
      </c>
      <c r="P12" s="14">
        <v>32</v>
      </c>
      <c r="Q12" s="14">
        <v>172</v>
      </c>
      <c r="R12" s="14">
        <v>15</v>
      </c>
      <c r="S12" s="14">
        <v>194</v>
      </c>
      <c r="T12" s="14">
        <v>120</v>
      </c>
      <c r="U12" s="14">
        <v>124</v>
      </c>
      <c r="V12" s="14">
        <v>54</v>
      </c>
      <c r="W12" s="14">
        <v>296</v>
      </c>
      <c r="X12" s="14">
        <v>195</v>
      </c>
      <c r="Y12" s="14">
        <v>192</v>
      </c>
      <c r="Z12" s="14">
        <v>247</v>
      </c>
      <c r="AA12" s="14">
        <v>78</v>
      </c>
    </row>
    <row r="13" spans="1:27" x14ac:dyDescent="0.25">
      <c r="A13">
        <v>2003</v>
      </c>
      <c r="B13" s="6">
        <v>5.4</v>
      </c>
      <c r="C13" s="6">
        <v>3.2</v>
      </c>
      <c r="D13" s="6">
        <v>9.6999999999999993</v>
      </c>
      <c r="E13" s="6">
        <v>12.5</v>
      </c>
      <c r="F13" s="6">
        <v>20.399999999999999</v>
      </c>
      <c r="G13" s="6">
        <v>25.7</v>
      </c>
      <c r="H13" s="6">
        <v>25.7</v>
      </c>
      <c r="I13" s="6">
        <v>27.7</v>
      </c>
      <c r="J13" s="6">
        <v>19.100000000000001</v>
      </c>
      <c r="K13" s="6">
        <v>12.7</v>
      </c>
      <c r="L13" s="6">
        <v>11.8</v>
      </c>
      <c r="M13" s="6">
        <v>8</v>
      </c>
      <c r="O13">
        <v>2003</v>
      </c>
      <c r="P13" s="14">
        <v>107.8</v>
      </c>
      <c r="Q13" s="14">
        <v>66.900000000000006</v>
      </c>
      <c r="R13" s="14">
        <v>5.0999999999999996</v>
      </c>
      <c r="S13" s="14">
        <v>129.19999999999999</v>
      </c>
      <c r="T13" s="14">
        <v>17.399999999999999</v>
      </c>
      <c r="U13" s="14">
        <v>56.8</v>
      </c>
      <c r="V13" s="14">
        <v>13.3</v>
      </c>
      <c r="W13" s="14">
        <v>25.9</v>
      </c>
      <c r="X13" s="14">
        <v>133.19999999999999</v>
      </c>
      <c r="Y13" s="14">
        <v>184.1</v>
      </c>
      <c r="Z13" s="14">
        <v>146.4</v>
      </c>
      <c r="AA13" s="14">
        <v>134.80000000000001</v>
      </c>
    </row>
    <row r="14" spans="1:27" x14ac:dyDescent="0.25">
      <c r="A14">
        <v>2004</v>
      </c>
      <c r="B14" s="7">
        <v>4.5</v>
      </c>
      <c r="C14" s="7">
        <v>5.7</v>
      </c>
      <c r="D14" s="7">
        <v>8.3000000000000007</v>
      </c>
      <c r="E14" s="7">
        <v>12.9</v>
      </c>
      <c r="F14" s="7">
        <v>15.6</v>
      </c>
      <c r="G14" s="7">
        <v>21.3</v>
      </c>
      <c r="H14" s="7">
        <v>24.2</v>
      </c>
      <c r="I14" s="7">
        <v>23.7</v>
      </c>
      <c r="J14" s="7">
        <v>19.5</v>
      </c>
      <c r="K14" s="7">
        <v>16.100000000000001</v>
      </c>
      <c r="L14" s="7">
        <v>10.9</v>
      </c>
      <c r="M14" s="7">
        <v>8.1</v>
      </c>
      <c r="O14">
        <v>2004</v>
      </c>
      <c r="P14" s="13">
        <v>148.80000000000001</v>
      </c>
      <c r="Q14" s="13">
        <v>188.2</v>
      </c>
      <c r="R14" s="13">
        <v>46.3</v>
      </c>
      <c r="S14" s="13">
        <v>120.8</v>
      </c>
      <c r="T14" s="13">
        <v>156.9</v>
      </c>
      <c r="U14" s="13">
        <v>39.4</v>
      </c>
      <c r="V14" s="13">
        <v>40.6</v>
      </c>
      <c r="W14" s="13">
        <v>110.6</v>
      </c>
      <c r="X14" s="13">
        <v>101.8</v>
      </c>
      <c r="Y14" s="13">
        <v>343</v>
      </c>
      <c r="Z14" s="13">
        <v>63</v>
      </c>
      <c r="AA14" s="13">
        <v>217.7</v>
      </c>
    </row>
    <row r="15" spans="1:27" x14ac:dyDescent="0.25">
      <c r="A15">
        <v>2005</v>
      </c>
      <c r="B15" s="7">
        <v>5.0999999999999996</v>
      </c>
      <c r="C15" s="7">
        <v>3.6</v>
      </c>
      <c r="D15" s="7">
        <v>8.1</v>
      </c>
      <c r="E15" s="7">
        <v>12.2</v>
      </c>
      <c r="F15" s="7">
        <v>18</v>
      </c>
      <c r="G15" s="7">
        <v>22.2</v>
      </c>
      <c r="H15" s="7">
        <v>23.9</v>
      </c>
      <c r="I15" s="7">
        <v>21.2</v>
      </c>
      <c r="J15" s="7">
        <v>19.399999999999999</v>
      </c>
      <c r="K15" s="7">
        <v>14.6</v>
      </c>
      <c r="L15" s="7">
        <v>9.6</v>
      </c>
      <c r="M15" s="7">
        <v>5.6</v>
      </c>
      <c r="O15">
        <v>2005</v>
      </c>
      <c r="P15" s="13">
        <v>24.1</v>
      </c>
      <c r="Q15" s="13">
        <v>18.2</v>
      </c>
      <c r="R15" s="13">
        <v>102.9</v>
      </c>
      <c r="S15" s="13">
        <v>123.8</v>
      </c>
      <c r="T15" s="13">
        <v>108.7</v>
      </c>
      <c r="U15" s="13">
        <v>69.3</v>
      </c>
      <c r="V15" s="13">
        <v>93.7</v>
      </c>
      <c r="W15" s="13">
        <v>170</v>
      </c>
      <c r="X15" s="13">
        <v>206.2</v>
      </c>
      <c r="Y15" s="13">
        <v>97.1</v>
      </c>
      <c r="Z15" s="13">
        <v>210.7</v>
      </c>
      <c r="AA15" s="13">
        <v>208.4</v>
      </c>
    </row>
    <row r="16" spans="1:27" x14ac:dyDescent="0.25">
      <c r="A16">
        <v>2006</v>
      </c>
      <c r="B16" s="7">
        <v>4</v>
      </c>
      <c r="C16" s="7">
        <v>5.7</v>
      </c>
      <c r="D16" s="7">
        <v>7.2</v>
      </c>
      <c r="E16" s="7">
        <v>13.6</v>
      </c>
      <c r="F16" s="7">
        <v>17.2</v>
      </c>
      <c r="G16" s="7">
        <v>22</v>
      </c>
      <c r="H16" s="7">
        <v>26.9</v>
      </c>
      <c r="I16" s="7">
        <v>21</v>
      </c>
      <c r="J16" s="7">
        <v>20.8</v>
      </c>
      <c r="K16" s="7">
        <v>16.7</v>
      </c>
      <c r="L16" s="7">
        <v>11.9</v>
      </c>
      <c r="M16" s="7">
        <v>8.8000000000000007</v>
      </c>
      <c r="O16">
        <v>2006</v>
      </c>
      <c r="P16" s="13">
        <v>155.1</v>
      </c>
      <c r="Q16" s="13">
        <v>140.1</v>
      </c>
      <c r="R16" s="13">
        <v>196.7</v>
      </c>
      <c r="S16" s="13">
        <v>77</v>
      </c>
      <c r="T16" s="13">
        <v>112.1</v>
      </c>
      <c r="U16" s="13">
        <v>19.3</v>
      </c>
      <c r="V16" s="13">
        <v>7.8</v>
      </c>
      <c r="W16" s="13">
        <v>204.4</v>
      </c>
      <c r="X16" s="13">
        <v>81.099999999999994</v>
      </c>
      <c r="Y16" s="13">
        <v>82.6</v>
      </c>
      <c r="Z16" s="13">
        <v>121.1</v>
      </c>
      <c r="AA16" s="13">
        <v>107</v>
      </c>
    </row>
    <row r="17" spans="1:27" x14ac:dyDescent="0.25">
      <c r="A17">
        <v>2007</v>
      </c>
      <c r="B17" s="7">
        <v>8.8000000000000007</v>
      </c>
      <c r="C17" s="7">
        <v>9.6</v>
      </c>
      <c r="D17" s="7">
        <v>11.5</v>
      </c>
      <c r="E17" s="7">
        <v>16.899999999999999</v>
      </c>
      <c r="F17" s="7">
        <v>19.100000000000001</v>
      </c>
      <c r="G17" s="7">
        <v>22.8</v>
      </c>
      <c r="H17" s="7">
        <v>25.2</v>
      </c>
      <c r="I17" s="7">
        <v>23.6</v>
      </c>
      <c r="J17" s="7">
        <v>17.3</v>
      </c>
      <c r="K17" s="7">
        <v>13.7</v>
      </c>
      <c r="L17" s="7">
        <v>9</v>
      </c>
      <c r="M17" s="7">
        <v>6.3</v>
      </c>
      <c r="O17">
        <v>2007</v>
      </c>
      <c r="P17" s="13">
        <v>110.7</v>
      </c>
      <c r="Q17" s="13">
        <v>253.3</v>
      </c>
      <c r="R17" s="13">
        <v>158.30000000000001</v>
      </c>
      <c r="S17" s="13">
        <v>0.6</v>
      </c>
      <c r="T17" s="13">
        <v>275.7</v>
      </c>
      <c r="U17" s="13">
        <v>41.8</v>
      </c>
      <c r="V17" s="13">
        <v>34.9</v>
      </c>
      <c r="W17" s="13">
        <v>95</v>
      </c>
      <c r="X17" s="13">
        <v>205.1</v>
      </c>
      <c r="Y17" s="13">
        <v>86.9</v>
      </c>
      <c r="Z17" s="13">
        <v>95.4</v>
      </c>
      <c r="AA17" s="13">
        <v>59.7</v>
      </c>
    </row>
    <row r="18" spans="1:27" x14ac:dyDescent="0.25">
      <c r="A18">
        <v>2008</v>
      </c>
      <c r="B18" s="7">
        <v>7.8</v>
      </c>
      <c r="C18" s="7">
        <v>6.9</v>
      </c>
      <c r="D18" s="7">
        <v>9</v>
      </c>
      <c r="E18" s="7">
        <v>12.7</v>
      </c>
      <c r="F18" s="7">
        <v>18.5</v>
      </c>
      <c r="G18" s="7">
        <v>22.3</v>
      </c>
      <c r="H18" s="7">
        <v>24.6</v>
      </c>
      <c r="I18" s="7">
        <v>24.7</v>
      </c>
      <c r="J18" s="7">
        <v>18.399999999999999</v>
      </c>
      <c r="K18" s="7">
        <v>15.5</v>
      </c>
      <c r="L18" s="7">
        <v>10.9</v>
      </c>
      <c r="M18" s="7">
        <v>7.3</v>
      </c>
      <c r="O18">
        <v>2008</v>
      </c>
      <c r="P18" s="13">
        <v>152.1</v>
      </c>
      <c r="Q18" s="13">
        <v>84.6</v>
      </c>
      <c r="R18" s="13">
        <v>117.5</v>
      </c>
      <c r="S18" s="13">
        <v>206</v>
      </c>
      <c r="T18" s="13">
        <v>68.099999999999994</v>
      </c>
      <c r="U18" s="13">
        <v>102.4</v>
      </c>
      <c r="V18" s="13">
        <v>42.1</v>
      </c>
      <c r="W18" s="13">
        <v>79.2</v>
      </c>
      <c r="X18" s="13">
        <v>44.3</v>
      </c>
      <c r="Y18" s="13">
        <v>139.30000000000001</v>
      </c>
      <c r="Z18" s="13">
        <v>290.5</v>
      </c>
      <c r="AA18" s="13">
        <v>305.10000000000002</v>
      </c>
    </row>
    <row r="19" spans="1:27" x14ac:dyDescent="0.25">
      <c r="A19">
        <v>2009</v>
      </c>
      <c r="B19" s="7">
        <v>5.4</v>
      </c>
      <c r="C19" s="7">
        <v>6.2</v>
      </c>
      <c r="D19" s="7">
        <v>9.1999999999999993</v>
      </c>
      <c r="E19" s="7">
        <v>15.3</v>
      </c>
      <c r="F19" s="7">
        <v>20.100000000000001</v>
      </c>
      <c r="G19" s="7">
        <v>21</v>
      </c>
      <c r="H19" s="7">
        <v>24.5</v>
      </c>
      <c r="I19" s="7">
        <v>25.6</v>
      </c>
      <c r="J19" s="7">
        <v>21.3</v>
      </c>
      <c r="K19" s="7">
        <v>14.3</v>
      </c>
      <c r="L19" s="7">
        <v>11.6</v>
      </c>
      <c r="M19" s="7">
        <v>6.6</v>
      </c>
      <c r="O19">
        <v>2009</v>
      </c>
      <c r="P19" s="13">
        <v>128</v>
      </c>
      <c r="Q19" s="13">
        <v>158</v>
      </c>
      <c r="R19" s="13">
        <v>227.2</v>
      </c>
      <c r="S19" s="13">
        <v>90.9</v>
      </c>
      <c r="T19" s="13">
        <v>11.2</v>
      </c>
      <c r="U19" s="13">
        <v>91</v>
      </c>
      <c r="V19" s="13">
        <v>83.3</v>
      </c>
      <c r="W19" s="13">
        <v>73</v>
      </c>
      <c r="X19" s="13">
        <v>132.19999999999999</v>
      </c>
      <c r="Y19" s="13">
        <v>70.3</v>
      </c>
      <c r="Z19" s="13">
        <v>166.8</v>
      </c>
      <c r="AA19" s="13">
        <v>415.2</v>
      </c>
    </row>
    <row r="20" spans="1:27" x14ac:dyDescent="0.25">
      <c r="A20">
        <v>2010</v>
      </c>
      <c r="B20" s="7">
        <v>3.7</v>
      </c>
      <c r="C20" s="7">
        <v>6.3</v>
      </c>
      <c r="D20" s="7">
        <v>8.3000000000000007</v>
      </c>
      <c r="E20" s="7">
        <v>14</v>
      </c>
      <c r="F20" s="7">
        <v>16.2</v>
      </c>
      <c r="G20" s="7">
        <v>21.6</v>
      </c>
      <c r="H20" s="7">
        <v>25.2</v>
      </c>
      <c r="I20" s="7">
        <v>23.2</v>
      </c>
      <c r="J20" s="7">
        <v>18.3</v>
      </c>
      <c r="K20" s="7">
        <v>13.1</v>
      </c>
      <c r="L20" s="7">
        <v>11.3</v>
      </c>
      <c r="M20" s="7">
        <v>5.3</v>
      </c>
      <c r="O20">
        <v>2010</v>
      </c>
      <c r="P20" s="13">
        <v>232.8</v>
      </c>
      <c r="Q20" s="13">
        <v>160.5</v>
      </c>
      <c r="R20" s="13">
        <v>79.400000000000006</v>
      </c>
      <c r="S20" s="13">
        <v>65.900000000000006</v>
      </c>
      <c r="T20" s="13">
        <v>191.7</v>
      </c>
      <c r="U20" s="13">
        <v>187.1</v>
      </c>
      <c r="V20" s="13">
        <v>63.9</v>
      </c>
      <c r="W20" s="13">
        <v>68.7</v>
      </c>
      <c r="X20" s="13">
        <v>360.9</v>
      </c>
      <c r="Y20" s="13">
        <v>98.5</v>
      </c>
      <c r="Z20" s="13">
        <v>262.5</v>
      </c>
      <c r="AA20" s="13">
        <v>343</v>
      </c>
    </row>
    <row r="21" spans="1:27" x14ac:dyDescent="0.25">
      <c r="A21">
        <v>2011</v>
      </c>
      <c r="B21" s="7">
        <v>5.5</v>
      </c>
      <c r="C21" s="7">
        <v>6.6</v>
      </c>
      <c r="D21" s="7">
        <v>8.9</v>
      </c>
      <c r="E21" s="7">
        <v>15.6</v>
      </c>
      <c r="F21" s="7">
        <v>19.100000000000001</v>
      </c>
      <c r="G21" s="7">
        <v>22.5</v>
      </c>
      <c r="H21" s="7">
        <v>23.3</v>
      </c>
      <c r="I21" s="7">
        <v>25.4</v>
      </c>
      <c r="J21" s="7">
        <v>22.9</v>
      </c>
      <c r="K21" s="7">
        <v>14.1</v>
      </c>
      <c r="L21" s="7">
        <v>10.6</v>
      </c>
      <c r="M21" s="7">
        <v>8.8000000000000007</v>
      </c>
      <c r="O21">
        <v>2011</v>
      </c>
      <c r="P21" s="13">
        <v>71.2</v>
      </c>
      <c r="Q21" s="13">
        <v>63.2</v>
      </c>
      <c r="R21" s="13">
        <v>164.1</v>
      </c>
      <c r="S21" s="13">
        <v>20.3</v>
      </c>
      <c r="T21" s="13">
        <v>71.5</v>
      </c>
      <c r="U21" s="13">
        <v>70.400000000000006</v>
      </c>
      <c r="V21" s="13">
        <v>130.9</v>
      </c>
      <c r="W21" s="13">
        <v>3.4</v>
      </c>
      <c r="X21" s="13">
        <v>121.9</v>
      </c>
      <c r="Y21" s="13">
        <v>243.2</v>
      </c>
      <c r="Z21" s="13">
        <v>18.7</v>
      </c>
      <c r="AA21" s="13">
        <v>98.3</v>
      </c>
    </row>
    <row r="22" spans="1:27" x14ac:dyDescent="0.25">
      <c r="A22">
        <v>2012</v>
      </c>
      <c r="B22" s="7">
        <v>6</v>
      </c>
      <c r="C22" s="7">
        <v>2.2000000000000002</v>
      </c>
      <c r="D22" s="7">
        <v>12.5</v>
      </c>
      <c r="E22" s="7">
        <v>12.8</v>
      </c>
      <c r="F22" s="7">
        <v>17.399999999999999</v>
      </c>
      <c r="G22" s="7">
        <v>23.3</v>
      </c>
      <c r="H22" s="7">
        <v>26.1</v>
      </c>
      <c r="I22" s="7">
        <v>26.2</v>
      </c>
      <c r="J22" s="7">
        <v>20.5</v>
      </c>
      <c r="K22" s="7">
        <v>15.5</v>
      </c>
      <c r="L22" s="7">
        <v>12.3</v>
      </c>
      <c r="M22" s="7">
        <v>7</v>
      </c>
      <c r="O22">
        <v>2012</v>
      </c>
      <c r="P22" s="13">
        <v>54.1</v>
      </c>
      <c r="Q22" s="13">
        <v>22</v>
      </c>
      <c r="R22" s="13">
        <v>0.7</v>
      </c>
      <c r="S22" s="13">
        <v>106.5</v>
      </c>
      <c r="T22" s="13">
        <v>127.8</v>
      </c>
      <c r="U22" s="13">
        <v>75</v>
      </c>
      <c r="V22" s="13">
        <v>2</v>
      </c>
      <c r="W22" s="13">
        <v>45</v>
      </c>
      <c r="X22" s="13">
        <v>458.5</v>
      </c>
      <c r="Y22" s="13">
        <v>368.3</v>
      </c>
      <c r="Z22" s="13">
        <v>246.2</v>
      </c>
      <c r="AA22" s="13">
        <v>189.8</v>
      </c>
    </row>
    <row r="23" spans="1:27" x14ac:dyDescent="0.25">
      <c r="A23">
        <v>2013</v>
      </c>
      <c r="B23" s="7">
        <v>6.6</v>
      </c>
      <c r="C23" s="7">
        <v>5.0999999999999996</v>
      </c>
      <c r="D23" s="7">
        <v>8</v>
      </c>
      <c r="E23" s="7">
        <v>14.3</v>
      </c>
      <c r="F23" s="7">
        <v>16.399999999999999</v>
      </c>
      <c r="G23" s="7">
        <v>21.4</v>
      </c>
      <c r="H23" s="7">
        <v>25.8</v>
      </c>
      <c r="I23" s="7">
        <v>25.2</v>
      </c>
      <c r="J23" s="7">
        <v>19.100000000000001</v>
      </c>
      <c r="K23" s="7">
        <v>15.5</v>
      </c>
      <c r="L23" s="7">
        <v>11</v>
      </c>
      <c r="M23" s="7">
        <v>9.1</v>
      </c>
      <c r="O23">
        <v>2013</v>
      </c>
      <c r="P23" s="13">
        <v>172.9</v>
      </c>
      <c r="Q23" s="13">
        <v>209.2</v>
      </c>
      <c r="R23" s="13">
        <v>387.7</v>
      </c>
      <c r="S23" s="13">
        <v>80.5</v>
      </c>
      <c r="T23" s="13">
        <v>228.4</v>
      </c>
      <c r="U23" s="13">
        <v>52</v>
      </c>
      <c r="V23" s="13">
        <v>70.900000000000006</v>
      </c>
      <c r="W23" s="13">
        <v>78</v>
      </c>
      <c r="X23" s="13">
        <v>415.1</v>
      </c>
      <c r="Y23" s="13">
        <v>137.5</v>
      </c>
      <c r="Z23" s="13">
        <v>207.7</v>
      </c>
      <c r="AA23" s="13">
        <v>65.3</v>
      </c>
    </row>
    <row r="24" spans="1:27" x14ac:dyDescent="0.25">
      <c r="A24">
        <v>2014</v>
      </c>
      <c r="B24" s="7">
        <v>9.3000000000000007</v>
      </c>
      <c r="C24" s="7">
        <v>9.5</v>
      </c>
      <c r="D24" s="7">
        <v>12</v>
      </c>
      <c r="E24" s="7">
        <v>14.6</v>
      </c>
      <c r="F24" s="7">
        <v>16.600000000000001</v>
      </c>
      <c r="G24" s="7">
        <v>22.4</v>
      </c>
      <c r="H24" s="7">
        <v>22.6</v>
      </c>
      <c r="I24" s="7">
        <v>22.6</v>
      </c>
      <c r="J24" s="7">
        <v>18.7</v>
      </c>
      <c r="K24" s="7">
        <v>16</v>
      </c>
      <c r="L24" s="7">
        <v>13.5</v>
      </c>
      <c r="M24" s="7">
        <v>8.1999999999999993</v>
      </c>
      <c r="O24">
        <v>2014</v>
      </c>
      <c r="P24" s="13">
        <v>296.5</v>
      </c>
      <c r="Q24" s="13">
        <v>347.1</v>
      </c>
      <c r="R24" s="13">
        <v>71.3</v>
      </c>
      <c r="S24" s="13">
        <v>91.9</v>
      </c>
      <c r="T24" s="13">
        <v>95.9</v>
      </c>
      <c r="U24" s="13">
        <v>83.5</v>
      </c>
      <c r="V24" s="13">
        <v>149.9</v>
      </c>
      <c r="W24" s="13">
        <v>158.69999999999999</v>
      </c>
      <c r="X24" s="13">
        <v>164.5</v>
      </c>
      <c r="Y24" s="13">
        <v>164.8</v>
      </c>
      <c r="Z24" s="13">
        <v>305.8</v>
      </c>
      <c r="AA24" s="13">
        <v>136.5</v>
      </c>
    </row>
    <row r="25" spans="1:27" x14ac:dyDescent="0.25">
      <c r="A25">
        <v>2015</v>
      </c>
      <c r="B25" s="7">
        <v>7.9</v>
      </c>
      <c r="C25" s="7">
        <v>6.5</v>
      </c>
      <c r="D25" s="7">
        <v>10.3</v>
      </c>
      <c r="E25" s="7">
        <v>13.2</v>
      </c>
      <c r="F25" s="7">
        <v>18.5</v>
      </c>
      <c r="G25" s="7">
        <v>23.1</v>
      </c>
      <c r="H25" s="7">
        <v>27.4</v>
      </c>
      <c r="I25" s="7">
        <v>25.6</v>
      </c>
      <c r="J25" s="7">
        <v>19.899999999999999</v>
      </c>
      <c r="K25" s="7">
        <v>14.8</v>
      </c>
      <c r="L25" s="7">
        <v>10.8</v>
      </c>
      <c r="M25" s="7">
        <v>9.1999999999999993</v>
      </c>
      <c r="O25">
        <v>2015</v>
      </c>
      <c r="P25" s="13">
        <v>102.4</v>
      </c>
      <c r="Q25" s="13">
        <v>43.7</v>
      </c>
      <c r="R25" s="13">
        <v>116.9</v>
      </c>
      <c r="S25" s="13">
        <v>38.200000000000003</v>
      </c>
      <c r="T25" s="13">
        <v>60</v>
      </c>
      <c r="U25" s="13">
        <v>58.5</v>
      </c>
      <c r="V25" s="13">
        <v>66.099999999999994</v>
      </c>
      <c r="W25" s="13">
        <v>99.3</v>
      </c>
      <c r="X25" s="13">
        <v>67.599999999999994</v>
      </c>
      <c r="Y25" s="13">
        <v>346.5</v>
      </c>
      <c r="Z25" s="13">
        <v>40.200000000000003</v>
      </c>
      <c r="AA25" s="13">
        <v>0.1</v>
      </c>
    </row>
    <row r="26" spans="1:27" x14ac:dyDescent="0.25">
      <c r="A26">
        <v>2016</v>
      </c>
      <c r="B26" s="7">
        <v>7</v>
      </c>
      <c r="C26" s="7">
        <v>9.1999999999999993</v>
      </c>
      <c r="D26" s="7">
        <v>9.8000000000000007</v>
      </c>
      <c r="E26" s="7">
        <v>13.8</v>
      </c>
      <c r="F26" s="7">
        <v>16.7</v>
      </c>
      <c r="G26" s="7">
        <v>22</v>
      </c>
      <c r="H26" s="7">
        <v>25.6</v>
      </c>
      <c r="I26" s="7">
        <v>23.9</v>
      </c>
      <c r="J26" s="7">
        <v>21.1</v>
      </c>
      <c r="K26" s="7">
        <v>14</v>
      </c>
      <c r="L26" s="7">
        <v>10.6</v>
      </c>
      <c r="M26" s="7">
        <v>7.6</v>
      </c>
      <c r="O26">
        <v>2016</v>
      </c>
      <c r="P26" s="13">
        <v>181.9</v>
      </c>
      <c r="Q26" s="13">
        <v>407.7</v>
      </c>
      <c r="R26" s="13">
        <v>64.599999999999994</v>
      </c>
      <c r="S26" s="13">
        <v>54.3</v>
      </c>
      <c r="T26" s="13">
        <v>138.4</v>
      </c>
      <c r="U26" s="13">
        <v>152.6</v>
      </c>
      <c r="V26" s="13">
        <v>16.3</v>
      </c>
      <c r="W26" s="13">
        <v>112.7</v>
      </c>
      <c r="X26" s="13">
        <v>157.9</v>
      </c>
      <c r="Y26" s="13">
        <v>245.3</v>
      </c>
      <c r="Z26" s="13">
        <v>486.9</v>
      </c>
      <c r="AA26" s="13">
        <v>2.5</v>
      </c>
    </row>
    <row r="27" spans="1:27" x14ac:dyDescent="0.25">
      <c r="A27">
        <v>2017</v>
      </c>
      <c r="B27" s="7">
        <v>2.8</v>
      </c>
      <c r="C27" s="7">
        <v>7.8</v>
      </c>
      <c r="D27" s="7">
        <v>12.2</v>
      </c>
      <c r="E27" s="7">
        <v>13.4</v>
      </c>
      <c r="F27" s="7">
        <v>18</v>
      </c>
      <c r="G27" s="7">
        <v>23.8</v>
      </c>
      <c r="H27" s="7">
        <v>25.1</v>
      </c>
      <c r="I27" s="7">
        <v>26.4</v>
      </c>
      <c r="J27" s="7">
        <v>17.7</v>
      </c>
      <c r="K27" s="7">
        <v>15.1</v>
      </c>
      <c r="L27" s="7">
        <v>10.4</v>
      </c>
      <c r="M27" s="7">
        <v>7</v>
      </c>
      <c r="O27">
        <v>2017</v>
      </c>
      <c r="P27" s="13">
        <v>95.6</v>
      </c>
      <c r="Q27" s="13">
        <v>336.8</v>
      </c>
      <c r="R27" s="13">
        <v>53.5</v>
      </c>
      <c r="S27" s="13">
        <v>101.8</v>
      </c>
      <c r="T27" s="13">
        <v>77.099999999999994</v>
      </c>
      <c r="U27" s="13">
        <v>63.8</v>
      </c>
      <c r="V27" s="13">
        <v>88.1</v>
      </c>
      <c r="W27" s="13">
        <v>47.3</v>
      </c>
      <c r="X27" s="13">
        <v>249.2</v>
      </c>
      <c r="Y27" s="13">
        <v>153.9</v>
      </c>
      <c r="Z27" s="13">
        <v>204.6</v>
      </c>
      <c r="AA27" s="13">
        <v>263.60000000000002</v>
      </c>
    </row>
    <row r="28" spans="1:27" x14ac:dyDescent="0.25">
      <c r="A28">
        <v>2018</v>
      </c>
      <c r="B28">
        <v>8.4</v>
      </c>
      <c r="C28">
        <v>3.6</v>
      </c>
      <c r="D28">
        <v>7.9</v>
      </c>
      <c r="E28">
        <v>16.5</v>
      </c>
      <c r="F28">
        <v>20.6</v>
      </c>
      <c r="G28">
        <v>22.9</v>
      </c>
      <c r="H28">
        <v>24.7</v>
      </c>
      <c r="I28">
        <v>26.4</v>
      </c>
      <c r="J28">
        <v>21</v>
      </c>
      <c r="K28">
        <v>17.2</v>
      </c>
      <c r="L28">
        <v>11.7</v>
      </c>
      <c r="M28">
        <v>7.6</v>
      </c>
      <c r="O28">
        <v>2018</v>
      </c>
      <c r="P28">
        <v>173.3</v>
      </c>
      <c r="Q28">
        <v>98.2</v>
      </c>
      <c r="R28">
        <v>216.8</v>
      </c>
      <c r="S28">
        <v>99.2</v>
      </c>
      <c r="T28">
        <v>142.30000000000001</v>
      </c>
      <c r="U28">
        <v>87.2</v>
      </c>
      <c r="V28">
        <v>87.9</v>
      </c>
      <c r="W28">
        <v>127</v>
      </c>
      <c r="X28">
        <v>96.3</v>
      </c>
      <c r="Y28">
        <v>145.9</v>
      </c>
      <c r="Z28">
        <v>268.60000000000002</v>
      </c>
      <c r="AA28">
        <v>77.400000000000006</v>
      </c>
    </row>
    <row r="29" spans="1:27" x14ac:dyDescent="0.25">
      <c r="A29">
        <v>2019</v>
      </c>
      <c r="B29">
        <v>5.0999999999999996</v>
      </c>
      <c r="C29">
        <v>8.6999999999999993</v>
      </c>
      <c r="D29">
        <v>11.2</v>
      </c>
      <c r="E29">
        <v>13.8</v>
      </c>
      <c r="F29">
        <v>14.6</v>
      </c>
      <c r="G29">
        <v>24.8</v>
      </c>
      <c r="H29">
        <v>24.8</v>
      </c>
      <c r="I29">
        <v>25.8</v>
      </c>
      <c r="J29">
        <v>20</v>
      </c>
      <c r="K29">
        <v>16</v>
      </c>
      <c r="L29">
        <v>12.7</v>
      </c>
      <c r="M29">
        <v>9</v>
      </c>
      <c r="O29">
        <v>2019</v>
      </c>
      <c r="P29">
        <v>53.7</v>
      </c>
      <c r="Q29">
        <v>136.1</v>
      </c>
      <c r="R29">
        <v>32.9</v>
      </c>
      <c r="S29">
        <v>101.8</v>
      </c>
      <c r="T29">
        <v>287.7</v>
      </c>
      <c r="U29">
        <v>17.100000000000001</v>
      </c>
      <c r="V29">
        <v>159</v>
      </c>
      <c r="W29">
        <v>52.9</v>
      </c>
      <c r="X29">
        <v>76.5</v>
      </c>
      <c r="Y29">
        <v>112.5</v>
      </c>
      <c r="Z29">
        <v>415.6</v>
      </c>
      <c r="AA29">
        <v>244.9</v>
      </c>
    </row>
    <row r="30" spans="1:27" x14ac:dyDescent="0.25">
      <c r="A30">
        <v>2020</v>
      </c>
      <c r="B30">
        <v>8.1</v>
      </c>
      <c r="C30">
        <v>10</v>
      </c>
      <c r="D30">
        <v>9.9</v>
      </c>
      <c r="E30">
        <v>14.7</v>
      </c>
      <c r="F30">
        <v>17.5</v>
      </c>
      <c r="G30">
        <v>20.9</v>
      </c>
      <c r="H30">
        <v>24.6</v>
      </c>
      <c r="I30">
        <v>25.3</v>
      </c>
      <c r="J30">
        <v>21.1</v>
      </c>
      <c r="K30">
        <v>14.3</v>
      </c>
      <c r="L30">
        <v>10.8</v>
      </c>
      <c r="M30">
        <v>8.6</v>
      </c>
      <c r="O30">
        <v>2020</v>
      </c>
      <c r="P30">
        <v>28.3</v>
      </c>
      <c r="Q30">
        <v>44.4</v>
      </c>
      <c r="R30">
        <v>93.1</v>
      </c>
      <c r="S30">
        <v>55.5</v>
      </c>
      <c r="T30">
        <v>70.7</v>
      </c>
      <c r="U30">
        <v>176.8</v>
      </c>
      <c r="V30">
        <v>38.6</v>
      </c>
      <c r="W30">
        <v>87.2</v>
      </c>
      <c r="X30">
        <v>220.7</v>
      </c>
      <c r="Y30">
        <v>338.7</v>
      </c>
      <c r="Z30">
        <v>85.6</v>
      </c>
      <c r="AA30">
        <v>187.8</v>
      </c>
    </row>
    <row r="31" spans="1:27" x14ac:dyDescent="0.25">
      <c r="A31">
        <v>2021</v>
      </c>
      <c r="B31">
        <v>6</v>
      </c>
      <c r="C31">
        <v>9</v>
      </c>
      <c r="D31">
        <v>9.3000000000000007</v>
      </c>
      <c r="E31">
        <v>11.2</v>
      </c>
      <c r="F31">
        <v>15.8</v>
      </c>
      <c r="G31">
        <v>24.4</v>
      </c>
      <c r="H31">
        <v>25.4</v>
      </c>
      <c r="I31">
        <v>24.4</v>
      </c>
      <c r="J31">
        <v>21.1</v>
      </c>
      <c r="K31">
        <v>14</v>
      </c>
      <c r="L31">
        <v>11.2</v>
      </c>
      <c r="M31">
        <v>7.7</v>
      </c>
      <c r="O31">
        <v>2021</v>
      </c>
      <c r="P31">
        <v>174.2</v>
      </c>
      <c r="Q31">
        <v>131.1</v>
      </c>
      <c r="R31">
        <v>104.6</v>
      </c>
      <c r="S31">
        <v>112.1</v>
      </c>
      <c r="T31">
        <v>156.4</v>
      </c>
      <c r="U31">
        <v>5.0999999999999996</v>
      </c>
      <c r="V31">
        <v>108.6</v>
      </c>
      <c r="W31">
        <v>30.4</v>
      </c>
      <c r="X31">
        <v>54.5</v>
      </c>
      <c r="Y31">
        <v>84</v>
      </c>
      <c r="Z31">
        <v>193</v>
      </c>
      <c r="AA31">
        <v>177.3</v>
      </c>
    </row>
    <row r="32" spans="1:27" x14ac:dyDescent="0.25">
      <c r="A32">
        <v>2022</v>
      </c>
      <c r="B32">
        <v>6.5</v>
      </c>
      <c r="C32">
        <v>8.3000000000000007</v>
      </c>
      <c r="D32">
        <v>9.1999999999999993</v>
      </c>
      <c r="E32">
        <v>12.3</v>
      </c>
      <c r="F32">
        <v>19.899999999999999</v>
      </c>
      <c r="G32">
        <v>25.3</v>
      </c>
      <c r="H32">
        <v>27</v>
      </c>
      <c r="I32">
        <v>26</v>
      </c>
      <c r="J32">
        <v>19.100000000000001</v>
      </c>
      <c r="K32">
        <v>17.899999999999999</v>
      </c>
      <c r="L32">
        <v>12</v>
      </c>
      <c r="M32">
        <v>9.1999999999999993</v>
      </c>
      <c r="O32">
        <v>2022</v>
      </c>
      <c r="P32">
        <v>34.200000000000003</v>
      </c>
      <c r="Q32">
        <v>84.8</v>
      </c>
      <c r="R32">
        <v>36.6</v>
      </c>
      <c r="S32">
        <v>116.6</v>
      </c>
      <c r="T32">
        <v>52.5</v>
      </c>
      <c r="U32">
        <v>27.4</v>
      </c>
      <c r="V32">
        <v>48.8</v>
      </c>
      <c r="W32">
        <v>23.5</v>
      </c>
      <c r="X32">
        <v>592.6</v>
      </c>
      <c r="Y32">
        <v>67.2</v>
      </c>
      <c r="Z32">
        <v>147.4</v>
      </c>
      <c r="AA32">
        <v>335.5</v>
      </c>
    </row>
    <row r="33" spans="1:27" x14ac:dyDescent="0.25">
      <c r="A33">
        <v>2023</v>
      </c>
      <c r="B33">
        <v>7.9</v>
      </c>
      <c r="C33">
        <v>7.2</v>
      </c>
      <c r="D33">
        <v>10.6</v>
      </c>
      <c r="E33">
        <v>12.5</v>
      </c>
      <c r="F33">
        <v>18.600000000000001</v>
      </c>
      <c r="G33">
        <v>23.3</v>
      </c>
      <c r="H33">
        <v>25.8</v>
      </c>
      <c r="I33">
        <v>25.1</v>
      </c>
      <c r="J33">
        <v>22.7</v>
      </c>
      <c r="K33">
        <v>18.3</v>
      </c>
      <c r="L33">
        <v>12.1</v>
      </c>
      <c r="M33">
        <v>10.3</v>
      </c>
      <c r="O33">
        <v>2023</v>
      </c>
      <c r="P33">
        <v>183.2</v>
      </c>
      <c r="Q33">
        <v>50.8</v>
      </c>
      <c r="R33">
        <v>64.900000000000006</v>
      </c>
      <c r="S33">
        <v>122.4</v>
      </c>
      <c r="T33">
        <v>96.1</v>
      </c>
      <c r="U33">
        <v>43.9</v>
      </c>
      <c r="V33">
        <v>216.7</v>
      </c>
      <c r="W33">
        <v>288.10000000000002</v>
      </c>
      <c r="X33">
        <v>214.5</v>
      </c>
      <c r="Y33">
        <v>444.9</v>
      </c>
      <c r="Z33">
        <v>293.3</v>
      </c>
      <c r="AA33">
        <v>197.3</v>
      </c>
    </row>
    <row r="34" spans="1:27" x14ac:dyDescent="0.25">
      <c r="A34">
        <v>2024</v>
      </c>
      <c r="B34">
        <v>8.1</v>
      </c>
      <c r="C34">
        <v>11.3</v>
      </c>
      <c r="D34">
        <v>12.3</v>
      </c>
      <c r="E34">
        <v>14.7</v>
      </c>
      <c r="F34">
        <v>18.399999999999999</v>
      </c>
      <c r="G34">
        <v>22.9</v>
      </c>
      <c r="H34">
        <v>27.2</v>
      </c>
      <c r="I34">
        <v>28.1</v>
      </c>
      <c r="J34">
        <v>20.2</v>
      </c>
      <c r="K34">
        <v>16.899999999999999</v>
      </c>
      <c r="L34">
        <v>10.9</v>
      </c>
      <c r="M34">
        <v>8.1</v>
      </c>
      <c r="O34">
        <v>2024</v>
      </c>
      <c r="P34">
        <v>266.3</v>
      </c>
      <c r="Q34">
        <v>193.4</v>
      </c>
      <c r="R34">
        <v>133.1</v>
      </c>
      <c r="S34">
        <v>53.3</v>
      </c>
      <c r="T34">
        <v>199.7</v>
      </c>
      <c r="U34">
        <v>89.1</v>
      </c>
      <c r="V34">
        <v>74.900000000000006</v>
      </c>
      <c r="W34">
        <v>47.1</v>
      </c>
      <c r="X34">
        <v>245.7</v>
      </c>
      <c r="Y34">
        <v>304.7</v>
      </c>
      <c r="Z34">
        <v>88.7</v>
      </c>
      <c r="AA34">
        <v>79.599999999999994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37D9-8447-444B-BB60-EB18F52C2FE5}">
  <dimension ref="A1:AA40"/>
  <sheetViews>
    <sheetView topLeftCell="A9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6.8899999999999979</v>
      </c>
      <c r="C2" s="4">
        <f t="shared" ref="C2:L2" si="0">AVERAGE(C5:C46)</f>
        <v>7.6266666666666669</v>
      </c>
      <c r="D2" s="4">
        <f t="shared" si="0"/>
        <v>10.42</v>
      </c>
      <c r="E2" s="4">
        <f t="shared" si="0"/>
        <v>14.143333333333334</v>
      </c>
      <c r="F2" s="4">
        <f t="shared" si="0"/>
        <v>18.82</v>
      </c>
      <c r="G2" s="4">
        <f t="shared" si="0"/>
        <v>23.516666666666666</v>
      </c>
      <c r="H2" s="4">
        <f t="shared" si="0"/>
        <v>25.946666666666665</v>
      </c>
      <c r="I2" s="4">
        <f t="shared" si="0"/>
        <v>25.666666666666668</v>
      </c>
      <c r="J2" s="4">
        <f t="shared" si="0"/>
        <v>20.486666666666668</v>
      </c>
      <c r="K2" s="4">
        <f t="shared" si="0"/>
        <v>16.456666666666663</v>
      </c>
      <c r="L2" s="4">
        <f t="shared" si="0"/>
        <v>11.9</v>
      </c>
      <c r="M2" s="4">
        <f>AVERAGE(M5:M46)</f>
        <v>8.1966666666666672</v>
      </c>
      <c r="O2" s="30"/>
      <c r="P2" s="4">
        <f>AVERAGE(P5:P46)</f>
        <v>107.08333333333333</v>
      </c>
      <c r="Q2" s="4">
        <f t="shared" ref="Q2:Z2" si="1">AVERAGE(Q5:Q46)</f>
        <v>100.97333333333336</v>
      </c>
      <c r="R2" s="4">
        <f t="shared" si="1"/>
        <v>77.156666666666666</v>
      </c>
      <c r="S2" s="4">
        <f t="shared" si="1"/>
        <v>96.249999999999986</v>
      </c>
      <c r="T2" s="4">
        <f t="shared" si="1"/>
        <v>95.103333333333325</v>
      </c>
      <c r="U2" s="4">
        <f t="shared" si="1"/>
        <v>68.583333333333329</v>
      </c>
      <c r="V2" s="4">
        <f t="shared" si="1"/>
        <v>58.383333333333347</v>
      </c>
      <c r="W2" s="4">
        <f t="shared" si="1"/>
        <v>77.896666666666675</v>
      </c>
      <c r="X2" s="4">
        <f t="shared" si="1"/>
        <v>165.53000000000006</v>
      </c>
      <c r="Y2" s="4">
        <f t="shared" si="1"/>
        <v>141.62333333333336</v>
      </c>
      <c r="Z2" s="4">
        <f t="shared" si="1"/>
        <v>175.3066666666667</v>
      </c>
      <c r="AA2" s="4">
        <f>AVERAGE(AA5:AA46)</f>
        <v>139.44999999999996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5.9</v>
      </c>
      <c r="C5" s="2">
        <v>9.6999999999999993</v>
      </c>
      <c r="D5" s="2">
        <v>8.8000000000000007</v>
      </c>
      <c r="E5" s="2">
        <v>12.5</v>
      </c>
      <c r="F5" s="2">
        <v>17.2</v>
      </c>
      <c r="G5" s="2">
        <v>20.6</v>
      </c>
      <c r="H5" s="2">
        <v>26.3</v>
      </c>
      <c r="I5" s="2">
        <v>23</v>
      </c>
      <c r="J5" s="2">
        <v>18.3</v>
      </c>
      <c r="K5" s="2">
        <v>17.600000000000001</v>
      </c>
      <c r="L5" s="2">
        <v>10.199999999999999</v>
      </c>
      <c r="M5" s="2">
        <v>6.9</v>
      </c>
      <c r="O5">
        <v>1995</v>
      </c>
      <c r="P5" s="2">
        <v>76.599999999999994</v>
      </c>
      <c r="Q5" s="2">
        <v>146.5</v>
      </c>
      <c r="R5" s="2">
        <v>113.4</v>
      </c>
      <c r="S5" s="2">
        <v>26.7</v>
      </c>
      <c r="T5" s="2">
        <v>111.4</v>
      </c>
      <c r="U5" s="2">
        <v>176.7</v>
      </c>
      <c r="V5" s="2">
        <v>27.3</v>
      </c>
      <c r="W5" s="2">
        <v>76.7</v>
      </c>
      <c r="X5" s="2">
        <v>212.7</v>
      </c>
      <c r="Y5" s="2">
        <v>32.6</v>
      </c>
      <c r="Z5" s="2">
        <v>82.7</v>
      </c>
      <c r="AA5" s="2">
        <v>139.6</v>
      </c>
    </row>
    <row r="6" spans="1:27" x14ac:dyDescent="0.25">
      <c r="A6">
        <v>1996</v>
      </c>
      <c r="B6" s="2">
        <v>5.7</v>
      </c>
      <c r="C6" s="2">
        <v>4.3</v>
      </c>
      <c r="D6" s="2">
        <v>7.1</v>
      </c>
      <c r="E6" s="2">
        <v>13.8</v>
      </c>
      <c r="F6" s="2">
        <v>18.399999999999999</v>
      </c>
      <c r="G6" s="2">
        <v>22.6</v>
      </c>
      <c r="H6" s="2">
        <v>23.1</v>
      </c>
      <c r="I6" s="2">
        <v>23.7</v>
      </c>
      <c r="J6" s="2">
        <v>16.899999999999999</v>
      </c>
      <c r="K6" s="2">
        <v>15.4</v>
      </c>
      <c r="L6" s="2">
        <v>12</v>
      </c>
      <c r="M6" s="2">
        <v>5.9</v>
      </c>
      <c r="O6">
        <v>1996</v>
      </c>
      <c r="P6" s="2">
        <v>55.8</v>
      </c>
      <c r="Q6" s="2">
        <v>84.2</v>
      </c>
      <c r="R6" s="2">
        <v>9.1</v>
      </c>
      <c r="S6" s="2">
        <v>69.099999999999994</v>
      </c>
      <c r="T6" s="2">
        <v>113.2</v>
      </c>
      <c r="U6" s="2">
        <v>101</v>
      </c>
      <c r="V6" s="2">
        <v>53.6</v>
      </c>
      <c r="W6" s="2">
        <v>134.69999999999999</v>
      </c>
      <c r="X6" s="2">
        <v>274.2</v>
      </c>
      <c r="Y6" s="2">
        <v>119.6</v>
      </c>
      <c r="Z6" s="2">
        <v>310</v>
      </c>
      <c r="AA6" s="2">
        <v>181.7</v>
      </c>
    </row>
    <row r="7" spans="1:27" x14ac:dyDescent="0.25">
      <c r="A7">
        <v>1997</v>
      </c>
      <c r="B7" s="2">
        <v>6.5</v>
      </c>
      <c r="C7" s="2">
        <v>8.6</v>
      </c>
      <c r="D7" s="2">
        <v>11.4</v>
      </c>
      <c r="E7" s="2">
        <v>10</v>
      </c>
      <c r="F7" s="2">
        <v>18.7</v>
      </c>
      <c r="G7" s="2">
        <v>21.9</v>
      </c>
      <c r="H7" s="2">
        <v>23.6</v>
      </c>
      <c r="I7" s="2">
        <v>24</v>
      </c>
      <c r="J7" s="2">
        <v>20.8</v>
      </c>
      <c r="K7" s="2">
        <v>13.7</v>
      </c>
      <c r="L7" s="2">
        <v>11.2</v>
      </c>
      <c r="M7" s="2">
        <v>8.5</v>
      </c>
      <c r="O7">
        <v>1997</v>
      </c>
      <c r="P7" s="2">
        <v>149.69999999999999</v>
      </c>
      <c r="Q7" s="2">
        <v>78.400000000000006</v>
      </c>
      <c r="R7" s="2">
        <v>80.7</v>
      </c>
      <c r="S7" s="2">
        <v>100.5</v>
      </c>
      <c r="T7" s="2">
        <v>54.3</v>
      </c>
      <c r="U7" s="2">
        <v>131.69999999999999</v>
      </c>
      <c r="V7" s="2">
        <v>70.599999999999994</v>
      </c>
      <c r="W7" s="2">
        <v>92.8</v>
      </c>
      <c r="X7" s="2">
        <v>45.9</v>
      </c>
      <c r="Y7" s="2">
        <v>53.8</v>
      </c>
      <c r="Z7" s="2">
        <v>159.6</v>
      </c>
      <c r="AA7" s="2">
        <v>119.8</v>
      </c>
    </row>
    <row r="8" spans="1:27" x14ac:dyDescent="0.25">
      <c r="A8">
        <v>1998</v>
      </c>
      <c r="B8" s="2">
        <v>7.5</v>
      </c>
      <c r="C8" s="2">
        <v>9.6</v>
      </c>
      <c r="D8" s="2">
        <v>9.1</v>
      </c>
      <c r="E8" s="2">
        <v>13.8</v>
      </c>
      <c r="F8" s="2">
        <v>18.7</v>
      </c>
      <c r="G8" s="2">
        <v>23.1</v>
      </c>
      <c r="H8" s="2">
        <v>25.5</v>
      </c>
      <c r="I8" s="2">
        <v>26.2</v>
      </c>
      <c r="J8" s="2">
        <v>19.399999999999999</v>
      </c>
      <c r="K8" s="2">
        <v>16.100000000000001</v>
      </c>
      <c r="L8" s="2">
        <v>8.1</v>
      </c>
      <c r="M8" s="2">
        <v>5.7</v>
      </c>
      <c r="O8">
        <v>1998</v>
      </c>
      <c r="P8" s="2">
        <v>64.7</v>
      </c>
      <c r="Q8" s="2">
        <v>6.7</v>
      </c>
      <c r="R8" s="2">
        <v>45.9</v>
      </c>
      <c r="S8" s="2">
        <v>126.6</v>
      </c>
      <c r="T8" s="2">
        <v>43</v>
      </c>
      <c r="U8" s="2">
        <v>81</v>
      </c>
      <c r="V8" s="2">
        <v>79.599999999999994</v>
      </c>
      <c r="W8" s="2">
        <v>80.599999999999994</v>
      </c>
      <c r="X8" s="2">
        <v>259.60000000000002</v>
      </c>
      <c r="Y8" s="2">
        <v>184.2</v>
      </c>
      <c r="Z8" s="2">
        <v>107.4</v>
      </c>
      <c r="AA8" s="2">
        <v>94.1</v>
      </c>
    </row>
    <row r="9" spans="1:27" x14ac:dyDescent="0.25">
      <c r="A9">
        <v>1999</v>
      </c>
      <c r="B9" s="2">
        <v>8.1</v>
      </c>
      <c r="C9" s="2">
        <v>5.8</v>
      </c>
      <c r="D9" s="2">
        <v>10.6</v>
      </c>
      <c r="E9" s="2">
        <v>13.9</v>
      </c>
      <c r="F9" s="2">
        <v>18.8</v>
      </c>
      <c r="G9" s="2">
        <v>22.8</v>
      </c>
      <c r="H9" s="2">
        <v>24.6</v>
      </c>
      <c r="I9" s="2">
        <v>24.8</v>
      </c>
      <c r="J9" s="2">
        <v>21.8</v>
      </c>
      <c r="K9" s="2">
        <v>16.2</v>
      </c>
      <c r="L9" s="2">
        <v>9</v>
      </c>
      <c r="M9" s="2">
        <v>7.6</v>
      </c>
      <c r="O9">
        <v>1999</v>
      </c>
      <c r="P9" s="2">
        <v>72.8</v>
      </c>
      <c r="Q9" s="2">
        <v>111.1</v>
      </c>
      <c r="R9" s="2">
        <v>74.3</v>
      </c>
      <c r="S9" s="2">
        <v>117.4</v>
      </c>
      <c r="T9" s="2">
        <v>150.80000000000001</v>
      </c>
      <c r="U9" s="2">
        <v>45.1</v>
      </c>
      <c r="V9" s="2">
        <v>46.7</v>
      </c>
      <c r="W9" s="2">
        <v>22.6</v>
      </c>
      <c r="X9" s="2">
        <v>188.9</v>
      </c>
      <c r="Y9" s="2">
        <v>109.5</v>
      </c>
      <c r="Z9" s="2">
        <v>237.2</v>
      </c>
      <c r="AA9" s="2">
        <v>319.10000000000002</v>
      </c>
    </row>
    <row r="10" spans="1:27" x14ac:dyDescent="0.25">
      <c r="A10">
        <v>2000</v>
      </c>
      <c r="B10" s="2">
        <v>4.9000000000000004</v>
      </c>
      <c r="C10" s="2">
        <v>8.5</v>
      </c>
      <c r="D10" s="2">
        <v>10.1</v>
      </c>
      <c r="E10" s="2">
        <v>15.5</v>
      </c>
      <c r="F10" s="2">
        <v>20.2</v>
      </c>
      <c r="G10" s="2">
        <v>24.1</v>
      </c>
      <c r="H10" s="2">
        <v>23.8</v>
      </c>
      <c r="I10" s="2">
        <v>27</v>
      </c>
      <c r="J10" s="2">
        <v>20.5</v>
      </c>
      <c r="K10" s="2">
        <v>17.7</v>
      </c>
      <c r="L10" s="2">
        <v>14.2</v>
      </c>
      <c r="M10" s="2">
        <v>10.1</v>
      </c>
      <c r="O10">
        <v>2000</v>
      </c>
      <c r="P10" s="2">
        <v>9.9</v>
      </c>
      <c r="Q10" s="2">
        <v>61</v>
      </c>
      <c r="R10" s="2">
        <v>108.6</v>
      </c>
      <c r="S10" s="2">
        <v>33.6</v>
      </c>
      <c r="T10" s="2">
        <v>43.6</v>
      </c>
      <c r="U10" s="2">
        <v>20.8</v>
      </c>
      <c r="V10" s="2">
        <v>80</v>
      </c>
      <c r="W10" s="2">
        <v>10.6</v>
      </c>
      <c r="X10" s="2">
        <v>319.5</v>
      </c>
      <c r="Y10" s="2">
        <v>238.5</v>
      </c>
      <c r="Z10" s="2">
        <v>268.7</v>
      </c>
      <c r="AA10" s="2">
        <v>284.39999999999998</v>
      </c>
    </row>
    <row r="11" spans="1:27" x14ac:dyDescent="0.25">
      <c r="A11">
        <v>2001</v>
      </c>
      <c r="B11" s="2">
        <v>8.5</v>
      </c>
      <c r="C11" s="2">
        <v>8.5</v>
      </c>
      <c r="D11" s="2">
        <v>12.8</v>
      </c>
      <c r="E11" s="2">
        <v>13.1</v>
      </c>
      <c r="F11" s="2">
        <v>20.3</v>
      </c>
      <c r="G11" s="2">
        <v>21.3</v>
      </c>
      <c r="H11" s="2">
        <v>25.6</v>
      </c>
      <c r="I11" s="2">
        <v>26.9</v>
      </c>
      <c r="J11" s="2">
        <v>17.7</v>
      </c>
      <c r="K11" s="2">
        <v>18.2</v>
      </c>
      <c r="L11" s="2">
        <v>9.6</v>
      </c>
      <c r="M11" s="2">
        <v>3.7</v>
      </c>
      <c r="O11">
        <v>2001</v>
      </c>
      <c r="P11" s="2">
        <v>178.4</v>
      </c>
      <c r="Q11" s="2">
        <v>71.599999999999994</v>
      </c>
      <c r="R11" s="2">
        <v>161</v>
      </c>
      <c r="S11" s="2">
        <v>70.7</v>
      </c>
      <c r="T11" s="2">
        <v>32.200000000000003</v>
      </c>
      <c r="U11" s="2">
        <v>102.3</v>
      </c>
      <c r="V11" s="2">
        <v>34.4</v>
      </c>
      <c r="W11" s="2">
        <v>4.0999999999999996</v>
      </c>
      <c r="X11" s="2">
        <v>251.5</v>
      </c>
      <c r="Y11" s="2">
        <v>61.1</v>
      </c>
      <c r="Z11" s="2">
        <v>223</v>
      </c>
      <c r="AA11" s="2">
        <v>75.099999999999994</v>
      </c>
    </row>
    <row r="12" spans="1:27" x14ac:dyDescent="0.25">
      <c r="A12">
        <v>2002</v>
      </c>
      <c r="B12" s="6">
        <v>5.9</v>
      </c>
      <c r="C12" s="6">
        <v>8.8000000000000007</v>
      </c>
      <c r="D12" s="6">
        <v>11.7</v>
      </c>
      <c r="E12" s="6">
        <v>13</v>
      </c>
      <c r="F12" s="6">
        <v>19.100000000000001</v>
      </c>
      <c r="G12" s="6">
        <v>23.8</v>
      </c>
      <c r="H12" s="6">
        <v>24.8</v>
      </c>
      <c r="I12" s="6">
        <v>23.8</v>
      </c>
      <c r="J12" s="6">
        <v>18.7</v>
      </c>
      <c r="K12" s="6">
        <v>16.600000000000001</v>
      </c>
      <c r="L12" s="6">
        <v>14.3</v>
      </c>
      <c r="M12" s="6">
        <v>7.2</v>
      </c>
      <c r="O12">
        <v>2002</v>
      </c>
      <c r="P12" s="17">
        <v>21</v>
      </c>
      <c r="Q12" s="17">
        <v>123</v>
      </c>
      <c r="R12" s="17">
        <v>28</v>
      </c>
      <c r="S12" s="17">
        <v>231</v>
      </c>
      <c r="T12" s="17">
        <v>91</v>
      </c>
      <c r="U12" s="17">
        <v>115</v>
      </c>
      <c r="V12" s="17">
        <v>36</v>
      </c>
      <c r="W12" s="17">
        <v>267</v>
      </c>
      <c r="X12" s="17">
        <v>193</v>
      </c>
      <c r="Y12" s="17">
        <v>94</v>
      </c>
      <c r="Z12" s="17">
        <v>246</v>
      </c>
      <c r="AA12" s="17">
        <v>112</v>
      </c>
    </row>
    <row r="13" spans="1:27" x14ac:dyDescent="0.25">
      <c r="A13">
        <v>2003</v>
      </c>
      <c r="B13" s="6">
        <v>5.3</v>
      </c>
      <c r="C13" s="6">
        <v>3.2</v>
      </c>
      <c r="D13" s="6">
        <v>10</v>
      </c>
      <c r="E13" s="6">
        <v>13.4</v>
      </c>
      <c r="F13" s="6">
        <v>20.9</v>
      </c>
      <c r="G13" s="6">
        <v>26.9</v>
      </c>
      <c r="H13" s="6">
        <v>27</v>
      </c>
      <c r="I13" s="6">
        <v>29</v>
      </c>
      <c r="J13" s="6">
        <v>19.8</v>
      </c>
      <c r="K13" s="6">
        <v>14</v>
      </c>
      <c r="L13" s="6">
        <v>12.9</v>
      </c>
      <c r="M13" s="6">
        <v>8.1999999999999993</v>
      </c>
      <c r="O13">
        <v>2003</v>
      </c>
      <c r="P13" s="17">
        <v>79.900000000000006</v>
      </c>
      <c r="Q13" s="17">
        <v>20.7</v>
      </c>
      <c r="R13" s="17">
        <v>22.9</v>
      </c>
      <c r="S13" s="17">
        <v>55.7</v>
      </c>
      <c r="T13" s="17">
        <v>37.200000000000003</v>
      </c>
      <c r="U13" s="17">
        <v>21.3</v>
      </c>
      <c r="V13" s="17">
        <v>5.2</v>
      </c>
      <c r="W13" s="17">
        <v>6.6</v>
      </c>
      <c r="X13" s="17">
        <v>84.1</v>
      </c>
      <c r="Y13" s="17">
        <v>234.2</v>
      </c>
      <c r="Z13" s="17">
        <v>87.5</v>
      </c>
      <c r="AA13" s="17">
        <v>75.2</v>
      </c>
    </row>
    <row r="14" spans="1:27" x14ac:dyDescent="0.25">
      <c r="A14">
        <v>2004</v>
      </c>
      <c r="B14" s="7">
        <v>5.0999999999999996</v>
      </c>
      <c r="C14" s="7">
        <v>6.3</v>
      </c>
      <c r="D14" s="7">
        <v>8.4</v>
      </c>
      <c r="E14" s="7">
        <v>13.4</v>
      </c>
      <c r="F14" s="7">
        <v>16.399999999999999</v>
      </c>
      <c r="G14" s="7">
        <v>22.1</v>
      </c>
      <c r="H14" s="7">
        <v>25</v>
      </c>
      <c r="I14" s="7">
        <v>25</v>
      </c>
      <c r="J14" s="7">
        <v>19.7</v>
      </c>
      <c r="K14" s="7">
        <v>17.2</v>
      </c>
      <c r="L14" s="7">
        <v>11.5</v>
      </c>
      <c r="M14" s="7">
        <v>8.1999999999999993</v>
      </c>
      <c r="O14">
        <v>2004</v>
      </c>
      <c r="P14" s="2">
        <v>127.5</v>
      </c>
      <c r="Q14" s="2">
        <v>185.7</v>
      </c>
      <c r="R14" s="2">
        <v>78.599999999999994</v>
      </c>
      <c r="S14" s="2">
        <v>184.3</v>
      </c>
      <c r="T14" s="2">
        <v>113.7</v>
      </c>
      <c r="U14" s="2">
        <v>26.7</v>
      </c>
      <c r="V14" s="2">
        <v>21.8</v>
      </c>
      <c r="W14" s="2">
        <v>136.30000000000001</v>
      </c>
      <c r="X14" s="2">
        <v>239.3</v>
      </c>
      <c r="Y14" s="2">
        <v>303</v>
      </c>
      <c r="Z14" s="2">
        <v>53.9</v>
      </c>
      <c r="AA14" s="2">
        <v>172.1</v>
      </c>
    </row>
    <row r="15" spans="1:27" x14ac:dyDescent="0.25">
      <c r="A15">
        <v>2005</v>
      </c>
      <c r="B15" s="7">
        <v>5.2</v>
      </c>
      <c r="C15" s="7">
        <v>3.3</v>
      </c>
      <c r="D15" s="7">
        <v>8.6</v>
      </c>
      <c r="E15" s="7">
        <v>13.1</v>
      </c>
      <c r="F15" s="7">
        <v>18.7</v>
      </c>
      <c r="G15" s="7">
        <v>22.9</v>
      </c>
      <c r="H15" s="7">
        <v>25.1</v>
      </c>
      <c r="I15" s="7">
        <v>22.2</v>
      </c>
      <c r="J15" s="7">
        <v>20.5</v>
      </c>
      <c r="K15" s="7">
        <v>15.9</v>
      </c>
      <c r="L15" s="7">
        <v>10.6</v>
      </c>
      <c r="M15" s="7">
        <v>6.2</v>
      </c>
      <c r="O15">
        <v>2005</v>
      </c>
      <c r="P15" s="2">
        <v>29.2</v>
      </c>
      <c r="Q15" s="2">
        <v>97.3</v>
      </c>
      <c r="R15" s="2">
        <v>50</v>
      </c>
      <c r="S15" s="2">
        <v>144.5</v>
      </c>
      <c r="T15" s="2">
        <v>82</v>
      </c>
      <c r="U15" s="2">
        <v>30.6</v>
      </c>
      <c r="V15" s="2">
        <v>52.7</v>
      </c>
      <c r="W15" s="2">
        <v>130.6</v>
      </c>
      <c r="X15" s="2">
        <v>109.6</v>
      </c>
      <c r="Y15" s="2">
        <v>88</v>
      </c>
      <c r="Z15" s="2">
        <v>189.6</v>
      </c>
      <c r="AA15" s="2">
        <v>234.1</v>
      </c>
    </row>
    <row r="16" spans="1:27" x14ac:dyDescent="0.25">
      <c r="A16">
        <v>2006</v>
      </c>
      <c r="B16" s="7">
        <v>4.0999999999999996</v>
      </c>
      <c r="C16" s="7">
        <v>6.3</v>
      </c>
      <c r="D16" s="7">
        <v>7.6</v>
      </c>
      <c r="E16" s="7">
        <v>13.9</v>
      </c>
      <c r="F16" s="7">
        <v>18.2</v>
      </c>
      <c r="G16" s="7">
        <v>22.4</v>
      </c>
      <c r="H16" s="7">
        <v>27.4</v>
      </c>
      <c r="I16" s="7">
        <v>22.2</v>
      </c>
      <c r="J16" s="7">
        <v>21.8</v>
      </c>
      <c r="K16" s="7">
        <v>18</v>
      </c>
      <c r="L16" s="7">
        <v>13</v>
      </c>
      <c r="M16" s="7">
        <v>9.6</v>
      </c>
      <c r="O16">
        <v>2006</v>
      </c>
      <c r="P16" s="2">
        <v>183.7</v>
      </c>
      <c r="Q16" s="2">
        <v>50.1</v>
      </c>
      <c r="R16" s="2">
        <v>87.3</v>
      </c>
      <c r="S16" s="2">
        <v>139.30000000000001</v>
      </c>
      <c r="T16" s="2">
        <v>188.7</v>
      </c>
      <c r="U16" s="2">
        <v>56.5</v>
      </c>
      <c r="V16" s="2">
        <v>3.2</v>
      </c>
      <c r="W16" s="2">
        <v>208.5</v>
      </c>
      <c r="X16" s="2">
        <v>56</v>
      </c>
      <c r="Y16" s="2">
        <v>52.8</v>
      </c>
      <c r="Z16" s="2">
        <v>116.2</v>
      </c>
      <c r="AA16" s="2">
        <v>48.2</v>
      </c>
    </row>
    <row r="17" spans="1:27" x14ac:dyDescent="0.25">
      <c r="A17">
        <v>2007</v>
      </c>
      <c r="B17" s="7">
        <v>10</v>
      </c>
      <c r="C17" s="7">
        <v>10.9</v>
      </c>
      <c r="D17" s="7">
        <v>12.2</v>
      </c>
      <c r="E17" s="7">
        <v>17.7</v>
      </c>
      <c r="F17" s="7">
        <v>20.100000000000001</v>
      </c>
      <c r="G17" s="7">
        <v>24.2</v>
      </c>
      <c r="H17" s="7">
        <v>26.4</v>
      </c>
      <c r="I17" s="7">
        <v>24.4</v>
      </c>
      <c r="J17" s="7">
        <v>18.7</v>
      </c>
      <c r="K17" s="7">
        <v>13.9</v>
      </c>
      <c r="L17" s="7">
        <v>9.9</v>
      </c>
      <c r="M17" s="7">
        <v>6.3</v>
      </c>
      <c r="O17">
        <v>2007</v>
      </c>
      <c r="P17" s="2">
        <v>127.1</v>
      </c>
      <c r="Q17" s="2">
        <v>147.5</v>
      </c>
      <c r="R17" s="2">
        <v>131</v>
      </c>
      <c r="S17" s="2">
        <v>0</v>
      </c>
      <c r="T17" s="2">
        <v>142.9</v>
      </c>
      <c r="U17" s="2">
        <v>56.7</v>
      </c>
      <c r="V17" s="2">
        <v>6.9</v>
      </c>
      <c r="W17" s="2">
        <v>104.5</v>
      </c>
      <c r="X17" s="2">
        <v>235.5</v>
      </c>
      <c r="Y17" s="2">
        <v>119.4</v>
      </c>
      <c r="Z17" s="2">
        <v>90.1</v>
      </c>
      <c r="AA17" s="2">
        <v>86.2</v>
      </c>
    </row>
    <row r="18" spans="1:27" x14ac:dyDescent="0.25">
      <c r="A18">
        <v>2008</v>
      </c>
      <c r="B18" s="7">
        <v>8.6999999999999993</v>
      </c>
      <c r="C18" s="7">
        <v>7.5</v>
      </c>
      <c r="D18" s="7">
        <v>9.9</v>
      </c>
      <c r="E18" s="7">
        <v>13.8</v>
      </c>
      <c r="F18" s="7">
        <v>19.3</v>
      </c>
      <c r="G18" s="7">
        <v>23.5</v>
      </c>
      <c r="H18" s="7">
        <v>25.6</v>
      </c>
      <c r="I18" s="7">
        <v>25.8</v>
      </c>
      <c r="J18" s="7">
        <v>18.899999999999999</v>
      </c>
      <c r="K18" s="7">
        <v>17</v>
      </c>
      <c r="L18" s="7">
        <v>11.8</v>
      </c>
      <c r="M18" s="7">
        <v>8</v>
      </c>
      <c r="O18">
        <v>2008</v>
      </c>
      <c r="P18" s="2">
        <v>74.3</v>
      </c>
      <c r="Q18" s="2">
        <v>37.700000000000003</v>
      </c>
      <c r="R18" s="2">
        <v>158.9</v>
      </c>
      <c r="S18" s="2">
        <v>145</v>
      </c>
      <c r="T18" s="2">
        <v>46.6</v>
      </c>
      <c r="U18" s="2">
        <v>89.6</v>
      </c>
      <c r="V18" s="2">
        <v>74.7</v>
      </c>
      <c r="W18" s="2">
        <v>38.5</v>
      </c>
      <c r="X18" s="2">
        <v>37.4</v>
      </c>
      <c r="Y18" s="2">
        <v>98.8</v>
      </c>
      <c r="Z18" s="2">
        <v>157.80000000000001</v>
      </c>
      <c r="AA18" s="2">
        <v>205.5</v>
      </c>
    </row>
    <row r="19" spans="1:27" x14ac:dyDescent="0.25">
      <c r="A19">
        <v>2009</v>
      </c>
      <c r="B19" s="7">
        <v>5.2</v>
      </c>
      <c r="C19" s="7">
        <v>6.9</v>
      </c>
      <c r="D19" s="7">
        <v>10.199999999999999</v>
      </c>
      <c r="E19" s="7">
        <v>15.8</v>
      </c>
      <c r="F19" s="7">
        <v>20.8</v>
      </c>
      <c r="G19" s="7">
        <v>22</v>
      </c>
      <c r="H19" s="7">
        <v>26.1</v>
      </c>
      <c r="I19" s="7">
        <v>26.5</v>
      </c>
      <c r="J19" s="7">
        <v>22.3</v>
      </c>
      <c r="K19" s="7">
        <v>15.4</v>
      </c>
      <c r="L19" s="7">
        <v>12.6</v>
      </c>
      <c r="M19" s="7">
        <v>7.7</v>
      </c>
      <c r="O19">
        <v>2009</v>
      </c>
      <c r="P19" s="2">
        <v>93.8</v>
      </c>
      <c r="Q19" s="2">
        <v>112</v>
      </c>
      <c r="R19" s="2">
        <v>102.7</v>
      </c>
      <c r="S19" s="2">
        <v>45.1</v>
      </c>
      <c r="T19" s="2">
        <v>13.2</v>
      </c>
      <c r="U19" s="2">
        <v>46.8</v>
      </c>
      <c r="V19" s="2">
        <v>32.4</v>
      </c>
      <c r="W19" s="2">
        <v>67.5</v>
      </c>
      <c r="X19" s="2">
        <v>52.6</v>
      </c>
      <c r="Y19" s="2">
        <v>131.80000000000001</v>
      </c>
      <c r="Z19" s="2">
        <v>95.5</v>
      </c>
      <c r="AA19" s="2">
        <v>182.1</v>
      </c>
    </row>
    <row r="20" spans="1:27" x14ac:dyDescent="0.25">
      <c r="A20">
        <v>2010</v>
      </c>
      <c r="B20" s="7">
        <v>4.0999999999999996</v>
      </c>
      <c r="C20" s="7">
        <v>6.9</v>
      </c>
      <c r="D20" s="7">
        <v>9.1</v>
      </c>
      <c r="E20" s="7">
        <v>14.9</v>
      </c>
      <c r="F20" s="7">
        <v>17.600000000000001</v>
      </c>
      <c r="G20" s="7">
        <v>22.7</v>
      </c>
      <c r="H20" s="7">
        <v>26.5</v>
      </c>
      <c r="I20" s="7">
        <v>24.4</v>
      </c>
      <c r="J20" s="7">
        <v>19.3</v>
      </c>
      <c r="K20" s="7">
        <v>14.2</v>
      </c>
      <c r="L20" s="7">
        <v>12.7</v>
      </c>
      <c r="M20" s="7">
        <v>6.8</v>
      </c>
      <c r="O20">
        <v>2010</v>
      </c>
      <c r="P20" s="2">
        <v>247.4</v>
      </c>
      <c r="Q20" s="2">
        <v>146.4</v>
      </c>
      <c r="R20" s="2">
        <v>51.5</v>
      </c>
      <c r="S20" s="2">
        <v>66.099999999999994</v>
      </c>
      <c r="T20" s="2">
        <v>109.5</v>
      </c>
      <c r="U20" s="2">
        <v>102.3</v>
      </c>
      <c r="V20" s="2">
        <v>46.5</v>
      </c>
      <c r="W20" s="2">
        <v>59.1</v>
      </c>
      <c r="X20" s="2">
        <v>190.4</v>
      </c>
      <c r="Y20" s="2">
        <v>81.3</v>
      </c>
      <c r="Z20" s="2">
        <v>306.7</v>
      </c>
      <c r="AA20" s="2">
        <v>90.4</v>
      </c>
    </row>
    <row r="21" spans="1:27" x14ac:dyDescent="0.25">
      <c r="A21">
        <v>2011</v>
      </c>
      <c r="B21" s="7">
        <v>6</v>
      </c>
      <c r="C21" s="7">
        <v>6.2</v>
      </c>
      <c r="D21" s="7">
        <v>9.8000000000000007</v>
      </c>
      <c r="E21" s="7">
        <v>16.399999999999999</v>
      </c>
      <c r="F21" s="7">
        <v>19.899999999999999</v>
      </c>
      <c r="G21" s="7">
        <v>23.6</v>
      </c>
      <c r="H21" s="7">
        <v>24.5</v>
      </c>
      <c r="I21" s="7">
        <v>26.5</v>
      </c>
      <c r="J21" s="7">
        <v>24</v>
      </c>
      <c r="K21" s="7">
        <v>15.4</v>
      </c>
      <c r="L21" s="7">
        <v>11.1</v>
      </c>
      <c r="M21" s="7">
        <v>10</v>
      </c>
      <c r="O21">
        <v>2011</v>
      </c>
      <c r="P21" s="2">
        <v>36.200000000000003</v>
      </c>
      <c r="Q21" s="2">
        <v>29.1</v>
      </c>
      <c r="R21" s="2">
        <v>53</v>
      </c>
      <c r="S21" s="2">
        <v>63.5</v>
      </c>
      <c r="T21" s="2">
        <v>53.7</v>
      </c>
      <c r="U21" s="2">
        <v>65.3</v>
      </c>
      <c r="V21" s="2">
        <v>155.30000000000001</v>
      </c>
      <c r="W21" s="2">
        <v>27.5</v>
      </c>
      <c r="X21" s="2">
        <v>60.3</v>
      </c>
      <c r="Y21" s="2">
        <v>203</v>
      </c>
      <c r="Z21" s="2">
        <v>5.8</v>
      </c>
      <c r="AA21" s="2">
        <v>200.6</v>
      </c>
    </row>
    <row r="22" spans="1:27" x14ac:dyDescent="0.25">
      <c r="A22">
        <v>2012</v>
      </c>
      <c r="B22" s="7">
        <v>7</v>
      </c>
      <c r="C22" s="7">
        <v>1.6</v>
      </c>
      <c r="D22" s="7">
        <v>13.4</v>
      </c>
      <c r="E22" s="7">
        <v>13.8</v>
      </c>
      <c r="F22" s="7">
        <v>18.3</v>
      </c>
      <c r="G22" s="7">
        <v>24.7</v>
      </c>
      <c r="H22" s="7">
        <v>27.4</v>
      </c>
      <c r="I22" s="7">
        <v>27.3</v>
      </c>
      <c r="J22" s="7">
        <v>21.4</v>
      </c>
      <c r="K22" s="7">
        <v>16.899999999999999</v>
      </c>
      <c r="L22" s="7">
        <v>13.8</v>
      </c>
      <c r="M22" s="7">
        <v>7.8</v>
      </c>
      <c r="O22">
        <v>2012</v>
      </c>
      <c r="P22" s="2">
        <v>34.6</v>
      </c>
      <c r="Q22" s="2">
        <v>17.5</v>
      </c>
      <c r="R22" s="2">
        <v>1.7</v>
      </c>
      <c r="S22" s="2">
        <v>78.599999999999994</v>
      </c>
      <c r="T22" s="2">
        <v>193.7</v>
      </c>
      <c r="U22" s="2">
        <v>55.7</v>
      </c>
      <c r="V22" s="2">
        <v>10</v>
      </c>
      <c r="W22" s="2">
        <v>27.4</v>
      </c>
      <c r="X22" s="2">
        <v>213.8</v>
      </c>
      <c r="Y22" s="2">
        <v>142.30000000000001</v>
      </c>
      <c r="Z22" s="2">
        <v>286.39999999999998</v>
      </c>
      <c r="AA22" s="2">
        <v>149.69999999999999</v>
      </c>
    </row>
    <row r="23" spans="1:27" x14ac:dyDescent="0.25">
      <c r="A23">
        <v>2013</v>
      </c>
      <c r="B23" s="7">
        <v>7.2</v>
      </c>
      <c r="C23" s="7">
        <v>5.4</v>
      </c>
      <c r="D23" s="7">
        <v>8.6</v>
      </c>
      <c r="E23" s="7">
        <v>14.8</v>
      </c>
      <c r="F23" s="7">
        <v>17.399999999999999</v>
      </c>
      <c r="G23" s="7">
        <v>22.7</v>
      </c>
      <c r="H23" s="7">
        <v>26.8</v>
      </c>
      <c r="I23" s="7">
        <v>26.3</v>
      </c>
      <c r="J23" s="7">
        <v>20.5</v>
      </c>
      <c r="K23" s="7">
        <v>16.399999999999999</v>
      </c>
      <c r="L23" s="7">
        <v>11.5</v>
      </c>
      <c r="M23" s="7">
        <v>10.3</v>
      </c>
      <c r="O23">
        <v>2013</v>
      </c>
      <c r="P23" s="2">
        <v>358.9</v>
      </c>
      <c r="Q23" s="2">
        <v>178.4</v>
      </c>
      <c r="R23" s="2">
        <v>190.1</v>
      </c>
      <c r="S23" s="2">
        <v>128.80000000000001</v>
      </c>
      <c r="T23" s="2">
        <v>175.5</v>
      </c>
      <c r="U23" s="2">
        <v>86.9</v>
      </c>
      <c r="V23" s="2">
        <v>19.399999999999999</v>
      </c>
      <c r="W23" s="2">
        <v>46.9</v>
      </c>
      <c r="X23" s="2">
        <v>130.6</v>
      </c>
      <c r="Y23" s="2">
        <v>140.30000000000001</v>
      </c>
      <c r="Z23" s="2">
        <v>209.6</v>
      </c>
      <c r="AA23" s="2">
        <v>20</v>
      </c>
    </row>
    <row r="24" spans="1:27" x14ac:dyDescent="0.25">
      <c r="A24">
        <v>2014</v>
      </c>
      <c r="B24" s="7">
        <v>10.4</v>
      </c>
      <c r="C24" s="7">
        <v>10.1</v>
      </c>
      <c r="D24" s="7">
        <v>12.5</v>
      </c>
      <c r="E24" s="7">
        <v>15.3</v>
      </c>
      <c r="F24" s="7">
        <v>17.399999999999999</v>
      </c>
      <c r="G24" s="7">
        <v>23.2</v>
      </c>
      <c r="H24" s="7">
        <v>23.8</v>
      </c>
      <c r="I24" s="7">
        <v>23.8</v>
      </c>
      <c r="J24" s="7">
        <v>19.5</v>
      </c>
      <c r="K24" s="7">
        <v>16.8</v>
      </c>
      <c r="L24" s="7">
        <v>14.7</v>
      </c>
      <c r="M24" s="7">
        <v>8.5</v>
      </c>
      <c r="O24">
        <v>2014</v>
      </c>
      <c r="P24" s="2">
        <v>123</v>
      </c>
      <c r="Q24" s="2">
        <v>311.2</v>
      </c>
      <c r="R24" s="2">
        <v>36.9</v>
      </c>
      <c r="S24" s="2">
        <v>96.7</v>
      </c>
      <c r="T24" s="2">
        <v>77.7</v>
      </c>
      <c r="U24" s="2">
        <v>57.9</v>
      </c>
      <c r="V24" s="2">
        <v>160.30000000000001</v>
      </c>
      <c r="W24" s="2">
        <v>140.19999999999999</v>
      </c>
      <c r="X24" s="2">
        <v>250.5</v>
      </c>
      <c r="Y24" s="2">
        <v>137.80000000000001</v>
      </c>
      <c r="Z24" s="2">
        <v>139.80000000000001</v>
      </c>
      <c r="AA24" s="2">
        <v>72.900000000000006</v>
      </c>
    </row>
    <row r="25" spans="1:27" x14ac:dyDescent="0.25">
      <c r="A25">
        <v>2015</v>
      </c>
      <c r="B25" s="7">
        <v>8.8000000000000007</v>
      </c>
      <c r="C25" s="7">
        <v>6.7</v>
      </c>
      <c r="D25" s="7">
        <v>11</v>
      </c>
      <c r="E25" s="7">
        <v>13.9</v>
      </c>
      <c r="F25" s="7">
        <v>19.3</v>
      </c>
      <c r="G25" s="7">
        <v>24</v>
      </c>
      <c r="H25" s="7">
        <v>28.2</v>
      </c>
      <c r="I25" s="7">
        <v>26.7</v>
      </c>
      <c r="J25" s="7">
        <v>20.8</v>
      </c>
      <c r="K25" s="7">
        <v>15.4</v>
      </c>
      <c r="L25" s="7">
        <v>11.3</v>
      </c>
      <c r="M25" s="7">
        <v>9.8000000000000007</v>
      </c>
      <c r="O25">
        <v>2015</v>
      </c>
      <c r="P25" s="2">
        <v>63.9</v>
      </c>
      <c r="Q25" s="2">
        <v>77.3</v>
      </c>
      <c r="R25" s="2">
        <v>38.6</v>
      </c>
      <c r="S25" s="2">
        <v>56.2</v>
      </c>
      <c r="T25" s="2">
        <v>39.1</v>
      </c>
      <c r="U25" s="2">
        <v>41.7</v>
      </c>
      <c r="V25" s="2">
        <v>35</v>
      </c>
      <c r="W25" s="2">
        <v>45</v>
      </c>
      <c r="X25" s="2">
        <v>149.30000000000001</v>
      </c>
      <c r="Y25" s="2">
        <v>276.60000000000002</v>
      </c>
      <c r="Z25" s="2">
        <v>151.80000000000001</v>
      </c>
      <c r="AA25" s="2">
        <v>0</v>
      </c>
    </row>
    <row r="26" spans="1:27" x14ac:dyDescent="0.25">
      <c r="A26">
        <v>2016</v>
      </c>
      <c r="B26" s="7">
        <v>7.9</v>
      </c>
      <c r="C26" s="7">
        <v>10.6</v>
      </c>
      <c r="D26" s="7">
        <v>10.3</v>
      </c>
      <c r="E26" s="7">
        <v>14.5</v>
      </c>
      <c r="F26" s="7">
        <v>17.8</v>
      </c>
      <c r="G26" s="7">
        <v>23.3</v>
      </c>
      <c r="H26" s="7">
        <v>26.7</v>
      </c>
      <c r="I26" s="7">
        <v>24.8</v>
      </c>
      <c r="J26" s="7">
        <v>22.1</v>
      </c>
      <c r="K26" s="7">
        <v>15.2</v>
      </c>
      <c r="L26" s="7">
        <v>11.7</v>
      </c>
      <c r="M26" s="7">
        <v>8.1</v>
      </c>
      <c r="O26">
        <v>2016</v>
      </c>
      <c r="P26" s="16">
        <v>156.6</v>
      </c>
      <c r="Q26" s="16">
        <v>241.3</v>
      </c>
      <c r="R26" s="16">
        <v>63.9</v>
      </c>
      <c r="S26" s="16">
        <v>54.8</v>
      </c>
      <c r="T26" s="16">
        <v>94.3</v>
      </c>
      <c r="U26" s="16">
        <v>101.5</v>
      </c>
      <c r="V26" s="16">
        <v>21.4</v>
      </c>
      <c r="W26" s="16">
        <v>86.1</v>
      </c>
      <c r="X26" s="16">
        <v>138.30000000000001</v>
      </c>
      <c r="Y26" s="16">
        <v>202.3</v>
      </c>
      <c r="Z26" s="16">
        <v>172.9</v>
      </c>
      <c r="AA26" s="16">
        <v>3.2</v>
      </c>
    </row>
    <row r="27" spans="1:27" x14ac:dyDescent="0.25">
      <c r="A27">
        <v>2017</v>
      </c>
      <c r="B27" s="7">
        <v>2.4</v>
      </c>
      <c r="C27" s="7">
        <v>8.9</v>
      </c>
      <c r="D27" s="7">
        <v>13.2</v>
      </c>
      <c r="E27" s="7">
        <v>14.3</v>
      </c>
      <c r="F27" s="7">
        <v>19</v>
      </c>
      <c r="G27" s="7">
        <v>25</v>
      </c>
      <c r="H27" s="7">
        <v>26.3</v>
      </c>
      <c r="I27" s="7">
        <v>27.2</v>
      </c>
      <c r="J27" s="7">
        <v>18.7</v>
      </c>
      <c r="K27" s="7">
        <v>16</v>
      </c>
      <c r="L27" s="7">
        <v>11.2</v>
      </c>
      <c r="M27" s="7">
        <v>8.1999999999999993</v>
      </c>
      <c r="O27">
        <v>2017</v>
      </c>
      <c r="P27" s="17">
        <v>98.3</v>
      </c>
      <c r="Q27" s="17">
        <v>111.4</v>
      </c>
      <c r="R27" s="17">
        <v>81.3</v>
      </c>
      <c r="S27" s="17">
        <v>91.7</v>
      </c>
      <c r="T27" s="17">
        <v>76.599999999999994</v>
      </c>
      <c r="U27" s="17">
        <v>70.5</v>
      </c>
      <c r="V27" s="17">
        <v>78.400000000000006</v>
      </c>
      <c r="W27" s="17">
        <v>37</v>
      </c>
      <c r="X27" s="17">
        <v>308</v>
      </c>
      <c r="Y27" s="17">
        <v>111.6</v>
      </c>
      <c r="Z27" s="17">
        <v>219.4</v>
      </c>
      <c r="AA27" s="17">
        <v>169.5</v>
      </c>
    </row>
    <row r="28" spans="1:27" x14ac:dyDescent="0.25">
      <c r="A28">
        <v>2018</v>
      </c>
      <c r="B28" s="7">
        <v>9.6999999999999993</v>
      </c>
      <c r="C28" s="7">
        <v>3.6</v>
      </c>
      <c r="D28" s="7">
        <v>8.6</v>
      </c>
      <c r="E28" s="7">
        <v>17.2</v>
      </c>
      <c r="F28" s="7">
        <v>21.6</v>
      </c>
      <c r="G28" s="7">
        <v>23.7</v>
      </c>
      <c r="H28" s="7">
        <v>26.3</v>
      </c>
      <c r="I28" s="7">
        <v>27.4</v>
      </c>
      <c r="J28" s="7">
        <v>22.3</v>
      </c>
      <c r="K28" s="7">
        <v>18.5</v>
      </c>
      <c r="L28" s="7">
        <v>12.3</v>
      </c>
      <c r="M28" s="7">
        <v>8.6999999999999993</v>
      </c>
      <c r="O28">
        <v>2018</v>
      </c>
      <c r="P28" s="2">
        <v>87.2</v>
      </c>
      <c r="Q28" s="2">
        <v>176.4</v>
      </c>
      <c r="R28" s="2">
        <v>145.9</v>
      </c>
      <c r="S28" s="2">
        <v>84.4</v>
      </c>
      <c r="T28" s="2">
        <v>139</v>
      </c>
      <c r="U28" s="2">
        <v>66.599999999999994</v>
      </c>
      <c r="V28" s="2">
        <v>27</v>
      </c>
      <c r="W28" s="2">
        <v>65.599999999999994</v>
      </c>
      <c r="X28" s="2">
        <v>36.4</v>
      </c>
      <c r="Y28" s="2">
        <v>163.4</v>
      </c>
      <c r="Z28" s="2">
        <v>116.2</v>
      </c>
      <c r="AA28" s="2">
        <v>109.3</v>
      </c>
    </row>
    <row r="29" spans="1:27" x14ac:dyDescent="0.25">
      <c r="A29">
        <v>2019</v>
      </c>
      <c r="B29" s="7">
        <v>5.7</v>
      </c>
      <c r="C29" s="7">
        <v>9.4</v>
      </c>
      <c r="D29" s="7">
        <v>12.4</v>
      </c>
      <c r="E29" s="7">
        <v>14.4</v>
      </c>
      <c r="F29" s="7">
        <v>15.3</v>
      </c>
      <c r="G29" s="7">
        <v>25.8</v>
      </c>
      <c r="H29" s="7">
        <v>26.2</v>
      </c>
      <c r="I29" s="7">
        <v>26.7</v>
      </c>
      <c r="J29" s="7">
        <v>21.1</v>
      </c>
      <c r="K29" s="7">
        <v>17.2</v>
      </c>
      <c r="L29" s="7">
        <v>14.2</v>
      </c>
      <c r="M29" s="7">
        <v>10</v>
      </c>
      <c r="O29">
        <v>2019</v>
      </c>
      <c r="P29" s="2">
        <v>96.7</v>
      </c>
      <c r="Q29" s="2">
        <v>36.299999999999997</v>
      </c>
      <c r="R29" s="2">
        <v>86.2</v>
      </c>
      <c r="S29" s="2">
        <v>147</v>
      </c>
      <c r="T29" s="2">
        <v>159.5</v>
      </c>
      <c r="U29" s="2">
        <v>20.8</v>
      </c>
      <c r="V29" s="2">
        <v>96.5</v>
      </c>
      <c r="W29" s="2">
        <v>31.7</v>
      </c>
      <c r="X29" s="2">
        <v>104.2</v>
      </c>
      <c r="Y29" s="2">
        <v>69.599999999999994</v>
      </c>
      <c r="Z29" s="2">
        <v>279.3</v>
      </c>
      <c r="AA29" s="2">
        <v>193.8</v>
      </c>
    </row>
    <row r="30" spans="1:27" x14ac:dyDescent="0.25">
      <c r="A30">
        <v>2020</v>
      </c>
      <c r="B30" s="7">
        <v>9.1999999999999993</v>
      </c>
      <c r="C30" s="7">
        <v>11.4</v>
      </c>
      <c r="D30" s="7">
        <v>10.6</v>
      </c>
      <c r="E30" s="7">
        <v>15.5</v>
      </c>
      <c r="F30" s="7">
        <v>18.3</v>
      </c>
      <c r="G30" s="7">
        <v>22.4</v>
      </c>
      <c r="H30" s="7">
        <v>25.6</v>
      </c>
      <c r="I30" s="7">
        <v>26.6</v>
      </c>
      <c r="J30" s="7">
        <v>22.1</v>
      </c>
      <c r="K30" s="7">
        <v>16</v>
      </c>
      <c r="L30" s="7">
        <v>11.8</v>
      </c>
      <c r="M30" s="7">
        <v>9.6</v>
      </c>
      <c r="O30">
        <v>2020</v>
      </c>
      <c r="P30" s="2">
        <v>17</v>
      </c>
      <c r="Q30" s="2">
        <v>40.799999999999997</v>
      </c>
      <c r="R30" s="2">
        <v>39</v>
      </c>
      <c r="S30" s="2">
        <v>53.7</v>
      </c>
      <c r="T30" s="2">
        <v>41.4</v>
      </c>
      <c r="U30" s="2">
        <v>107.2</v>
      </c>
      <c r="V30" s="2">
        <v>99.7</v>
      </c>
      <c r="W30" s="2">
        <v>61.9</v>
      </c>
      <c r="X30" s="2">
        <v>203.5</v>
      </c>
      <c r="Y30" s="2">
        <v>526.9</v>
      </c>
      <c r="Z30" s="2">
        <v>82.3</v>
      </c>
      <c r="AA30" s="2">
        <v>202.9</v>
      </c>
    </row>
    <row r="31" spans="1:27" x14ac:dyDescent="0.25">
      <c r="A31">
        <v>2021</v>
      </c>
      <c r="B31" s="7">
        <v>7.2</v>
      </c>
      <c r="C31" s="7">
        <v>9.8000000000000007</v>
      </c>
      <c r="D31" s="7">
        <v>10.3</v>
      </c>
      <c r="E31" s="7">
        <v>12.1</v>
      </c>
      <c r="F31" s="7">
        <v>17.100000000000001</v>
      </c>
      <c r="G31" s="7">
        <v>25.7</v>
      </c>
      <c r="H31" s="7">
        <v>26.6</v>
      </c>
      <c r="I31" s="7">
        <v>25.1</v>
      </c>
      <c r="J31" s="7">
        <v>21.8</v>
      </c>
      <c r="K31" s="7">
        <v>15</v>
      </c>
      <c r="L31" s="7">
        <v>11.9</v>
      </c>
      <c r="M31" s="7">
        <v>8.9</v>
      </c>
      <c r="O31">
        <v>2021</v>
      </c>
      <c r="P31" s="2">
        <v>205.1</v>
      </c>
      <c r="Q31" s="2">
        <v>100.6</v>
      </c>
      <c r="R31" s="2">
        <v>53.6</v>
      </c>
      <c r="S31" s="2">
        <v>98.1</v>
      </c>
      <c r="T31" s="2">
        <v>129.19999999999999</v>
      </c>
      <c r="U31" s="2">
        <v>1.6</v>
      </c>
      <c r="V31" s="2">
        <v>178.3</v>
      </c>
      <c r="W31" s="2">
        <v>93</v>
      </c>
      <c r="X31" s="2">
        <v>130.1</v>
      </c>
      <c r="Y31" s="2">
        <v>13</v>
      </c>
      <c r="Z31" s="2">
        <v>143.6</v>
      </c>
      <c r="AA31" s="2">
        <v>174.7</v>
      </c>
    </row>
    <row r="32" spans="1:27" x14ac:dyDescent="0.25">
      <c r="A32">
        <v>2022</v>
      </c>
      <c r="B32" s="7">
        <v>7.2</v>
      </c>
      <c r="C32" s="7">
        <v>9.4</v>
      </c>
      <c r="D32" s="7">
        <v>10.1</v>
      </c>
      <c r="E32" s="7">
        <v>13.4</v>
      </c>
      <c r="F32" s="7">
        <v>20.9</v>
      </c>
      <c r="G32" s="7">
        <v>26</v>
      </c>
      <c r="H32" s="7">
        <v>27.8</v>
      </c>
      <c r="I32" s="7">
        <v>26.8</v>
      </c>
      <c r="J32" s="7">
        <v>20.6</v>
      </c>
      <c r="K32" s="7">
        <v>19.3</v>
      </c>
      <c r="L32" s="7">
        <v>12.7</v>
      </c>
      <c r="M32" s="7">
        <v>10.1</v>
      </c>
      <c r="O32">
        <v>2022</v>
      </c>
      <c r="P32" s="2">
        <v>41.8</v>
      </c>
      <c r="Q32" s="2">
        <v>75</v>
      </c>
      <c r="R32" s="2">
        <v>13.7</v>
      </c>
      <c r="S32" s="2">
        <v>117.8</v>
      </c>
      <c r="T32" s="2">
        <v>95.7</v>
      </c>
      <c r="U32" s="2">
        <v>45.9</v>
      </c>
      <c r="V32" s="2">
        <v>21.4</v>
      </c>
      <c r="W32" s="2">
        <v>5.0999999999999996</v>
      </c>
      <c r="X32" s="2">
        <v>252.1</v>
      </c>
      <c r="Y32" s="2">
        <v>67.400000000000006</v>
      </c>
      <c r="Z32" s="2">
        <v>304.3</v>
      </c>
      <c r="AA32" s="2">
        <v>223.1</v>
      </c>
    </row>
    <row r="33" spans="1:27" x14ac:dyDescent="0.25">
      <c r="A33">
        <v>2023</v>
      </c>
      <c r="B33">
        <v>8.6</v>
      </c>
      <c r="C33">
        <v>7.9</v>
      </c>
      <c r="D33">
        <v>11.8</v>
      </c>
      <c r="E33">
        <v>13.3</v>
      </c>
      <c r="F33">
        <v>19</v>
      </c>
      <c r="G33">
        <v>24.3</v>
      </c>
      <c r="H33">
        <v>27.3</v>
      </c>
      <c r="I33">
        <v>26.4</v>
      </c>
      <c r="J33">
        <v>23.4</v>
      </c>
      <c r="K33">
        <v>20.2</v>
      </c>
      <c r="L33">
        <v>13.6</v>
      </c>
      <c r="M33">
        <v>11.4</v>
      </c>
      <c r="O33">
        <v>2023</v>
      </c>
      <c r="P33">
        <v>195.8</v>
      </c>
      <c r="Q33">
        <v>89.8</v>
      </c>
      <c r="R33">
        <v>70.2</v>
      </c>
      <c r="S33">
        <v>117.9</v>
      </c>
      <c r="T33">
        <v>90.5</v>
      </c>
      <c r="U33">
        <v>22.2</v>
      </c>
      <c r="V33">
        <v>111</v>
      </c>
      <c r="W33">
        <v>202.8</v>
      </c>
      <c r="X33">
        <v>29.3</v>
      </c>
      <c r="Y33">
        <v>111.9</v>
      </c>
      <c r="Z33">
        <v>265.2</v>
      </c>
      <c r="AA33">
        <v>89.6</v>
      </c>
    </row>
    <row r="34" spans="1:27" x14ac:dyDescent="0.25">
      <c r="A34">
        <v>2024</v>
      </c>
      <c r="B34">
        <v>8.6999999999999993</v>
      </c>
      <c r="C34">
        <v>12.7</v>
      </c>
      <c r="D34">
        <v>12.4</v>
      </c>
      <c r="E34">
        <v>13.8</v>
      </c>
      <c r="F34">
        <v>19.899999999999999</v>
      </c>
      <c r="G34">
        <v>24.2</v>
      </c>
      <c r="H34">
        <v>28.5</v>
      </c>
      <c r="I34">
        <v>29.5</v>
      </c>
      <c r="J34">
        <v>21.2</v>
      </c>
      <c r="K34">
        <v>18.3</v>
      </c>
      <c r="L34">
        <v>11.6</v>
      </c>
      <c r="M34">
        <v>7.9</v>
      </c>
      <c r="O34">
        <v>2024</v>
      </c>
      <c r="P34">
        <v>105.6</v>
      </c>
      <c r="Q34">
        <v>64.2</v>
      </c>
      <c r="R34">
        <v>136.69999999999999</v>
      </c>
      <c r="S34">
        <v>142.69999999999999</v>
      </c>
      <c r="T34">
        <v>113.9</v>
      </c>
      <c r="U34">
        <v>109.6</v>
      </c>
      <c r="V34">
        <v>66.2</v>
      </c>
      <c r="W34">
        <v>26</v>
      </c>
      <c r="X34">
        <v>209.3</v>
      </c>
      <c r="Y34">
        <v>80</v>
      </c>
      <c r="Z34">
        <v>150.69999999999999</v>
      </c>
      <c r="AA34">
        <v>154.6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12CC-6D3C-4F8C-A6C8-1DC4D2C267B3}">
  <dimension ref="A1:AA40"/>
  <sheetViews>
    <sheetView topLeftCell="A9" workbookViewId="0">
      <selection activeCell="Y37" sqref="Y37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1.3666666666666667</v>
      </c>
      <c r="C2" s="4">
        <f t="shared" ref="C2:L2" si="0">AVERAGE(C5:C46)</f>
        <v>3.6666666666666674</v>
      </c>
      <c r="D2" s="4">
        <f t="shared" si="0"/>
        <v>7.5566666666666675</v>
      </c>
      <c r="E2" s="4">
        <f t="shared" si="0"/>
        <v>12.356666666666666</v>
      </c>
      <c r="F2" s="4">
        <f t="shared" si="0"/>
        <v>16.980000000000004</v>
      </c>
      <c r="G2" s="4">
        <f t="shared" si="0"/>
        <v>21.256666666666664</v>
      </c>
      <c r="H2" s="4">
        <f t="shared" si="0"/>
        <v>22.73</v>
      </c>
      <c r="I2" s="4">
        <f t="shared" si="0"/>
        <v>21.879999999999995</v>
      </c>
      <c r="J2" s="4">
        <f t="shared" si="0"/>
        <v>16.533333333333339</v>
      </c>
      <c r="K2" s="4">
        <f t="shared" si="0"/>
        <v>11.98</v>
      </c>
      <c r="L2" s="4">
        <f t="shared" si="0"/>
        <v>6.9133333333333349</v>
      </c>
      <c r="M2" s="4">
        <f>AVERAGE(M5:M46)</f>
        <v>2.3166666666666669</v>
      </c>
      <c r="O2" s="30"/>
      <c r="P2" s="4">
        <f>AVERAGE(P5:P46)</f>
        <v>65.320000000000007</v>
      </c>
      <c r="Q2" s="4">
        <f t="shared" ref="Q2:Z2" si="1">AVERAGE(Q5:Q46)</f>
        <v>59.070000000000007</v>
      </c>
      <c r="R2" s="4">
        <f t="shared" si="1"/>
        <v>56.23666666666665</v>
      </c>
      <c r="S2" s="4">
        <f t="shared" si="1"/>
        <v>72.75333333333333</v>
      </c>
      <c r="T2" s="4">
        <f t="shared" si="1"/>
        <v>97.793333333333322</v>
      </c>
      <c r="U2" s="4">
        <f t="shared" si="1"/>
        <v>88.223333333333343</v>
      </c>
      <c r="V2" s="4">
        <f t="shared" si="1"/>
        <v>84.736666666666679</v>
      </c>
      <c r="W2" s="4">
        <f t="shared" si="1"/>
        <v>74.11999999999999</v>
      </c>
      <c r="X2" s="4">
        <f t="shared" si="1"/>
        <v>119.25333333333334</v>
      </c>
      <c r="Y2" s="4">
        <f t="shared" si="1"/>
        <v>79.289999999999992</v>
      </c>
      <c r="Z2" s="4">
        <f t="shared" si="1"/>
        <v>96.660000000000011</v>
      </c>
      <c r="AA2" s="4">
        <f>AVERAGE(AA5:AA46)</f>
        <v>72.033333333333303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1.2</v>
      </c>
      <c r="C5" s="2">
        <v>6.2</v>
      </c>
      <c r="D5" s="2">
        <v>5.6</v>
      </c>
      <c r="E5" s="2">
        <v>12</v>
      </c>
      <c r="F5" s="2">
        <v>15.5</v>
      </c>
      <c r="G5" s="2">
        <v>18.3</v>
      </c>
      <c r="H5" s="2">
        <v>23</v>
      </c>
      <c r="I5" s="2">
        <v>19.5</v>
      </c>
      <c r="J5" s="2">
        <v>14.8</v>
      </c>
      <c r="K5" s="2">
        <v>11.9</v>
      </c>
      <c r="L5" s="2">
        <v>4.9000000000000004</v>
      </c>
      <c r="M5" s="2">
        <v>1.6</v>
      </c>
      <c r="O5">
        <v>1995</v>
      </c>
      <c r="P5" s="2">
        <v>84.9</v>
      </c>
      <c r="Q5" s="2">
        <v>79.400000000000006</v>
      </c>
      <c r="R5" s="2">
        <v>54.9</v>
      </c>
      <c r="S5" s="2">
        <v>46.9</v>
      </c>
      <c r="T5" s="2">
        <v>98.9</v>
      </c>
      <c r="U5" s="2">
        <v>178.6</v>
      </c>
      <c r="V5" s="2">
        <v>30.5</v>
      </c>
      <c r="W5" s="2">
        <v>158.1</v>
      </c>
      <c r="X5" s="2">
        <v>130</v>
      </c>
      <c r="Y5" s="2">
        <v>12.8</v>
      </c>
      <c r="Z5" s="2">
        <v>72.2</v>
      </c>
      <c r="AA5" s="2">
        <v>76.2</v>
      </c>
    </row>
    <row r="6" spans="1:27" x14ac:dyDescent="0.25">
      <c r="A6">
        <v>1996</v>
      </c>
      <c r="B6" s="2">
        <v>-0.8</v>
      </c>
      <c r="C6" s="2">
        <v>-0.7</v>
      </c>
      <c r="D6" s="2">
        <v>3.2</v>
      </c>
      <c r="E6" s="2">
        <v>11.2</v>
      </c>
      <c r="F6" s="2">
        <v>17.2</v>
      </c>
      <c r="G6" s="2">
        <v>20.2</v>
      </c>
      <c r="H6" s="2">
        <v>19.7</v>
      </c>
      <c r="I6" s="2">
        <v>20</v>
      </c>
      <c r="J6" s="2">
        <v>13.1</v>
      </c>
      <c r="K6" s="2">
        <v>11.5</v>
      </c>
      <c r="L6" s="2">
        <v>8</v>
      </c>
      <c r="M6" s="2">
        <v>-1.3</v>
      </c>
      <c r="O6">
        <v>1996</v>
      </c>
      <c r="P6" s="2">
        <v>84.5</v>
      </c>
      <c r="Q6" s="2">
        <v>48.4</v>
      </c>
      <c r="R6" s="2">
        <v>27.6</v>
      </c>
      <c r="S6" s="2">
        <v>78.3</v>
      </c>
      <c r="T6" s="2">
        <v>89.7</v>
      </c>
      <c r="U6" s="2">
        <v>47.4</v>
      </c>
      <c r="V6" s="2">
        <v>151.5</v>
      </c>
      <c r="W6" s="2">
        <v>83.2</v>
      </c>
      <c r="X6" s="2">
        <v>228.3</v>
      </c>
      <c r="Y6" s="2">
        <v>46.3</v>
      </c>
      <c r="Z6" s="2">
        <v>136.80000000000001</v>
      </c>
      <c r="AA6" s="2">
        <v>64.900000000000006</v>
      </c>
    </row>
    <row r="7" spans="1:27" x14ac:dyDescent="0.25">
      <c r="A7">
        <v>1997</v>
      </c>
      <c r="B7" s="2">
        <v>-1.1000000000000001</v>
      </c>
      <c r="C7" s="2">
        <v>4.7</v>
      </c>
      <c r="D7" s="2">
        <v>6.9</v>
      </c>
      <c r="E7" s="2">
        <v>8.5</v>
      </c>
      <c r="F7" s="2">
        <v>17.8</v>
      </c>
      <c r="G7" s="2">
        <v>21.1</v>
      </c>
      <c r="H7" s="2">
        <v>21.2</v>
      </c>
      <c r="I7" s="2">
        <v>20.7</v>
      </c>
      <c r="J7" s="2">
        <v>16.3</v>
      </c>
      <c r="K7" s="2">
        <v>9.3000000000000007</v>
      </c>
      <c r="L7" s="2">
        <v>6.2</v>
      </c>
      <c r="M7" s="2">
        <v>3</v>
      </c>
      <c r="O7">
        <v>1997</v>
      </c>
      <c r="P7" s="2">
        <v>57.4</v>
      </c>
      <c r="Q7" s="2">
        <v>57.3</v>
      </c>
      <c r="R7" s="2">
        <v>26.7</v>
      </c>
      <c r="S7" s="2">
        <v>79.900000000000006</v>
      </c>
      <c r="T7" s="2">
        <v>63.9</v>
      </c>
      <c r="U7" s="2">
        <v>102.5</v>
      </c>
      <c r="V7" s="2">
        <v>114.2</v>
      </c>
      <c r="W7" s="2">
        <v>82.1</v>
      </c>
      <c r="X7" s="2">
        <v>33.9</v>
      </c>
      <c r="Y7" s="2">
        <v>68.8</v>
      </c>
      <c r="Z7" s="2">
        <v>121.9</v>
      </c>
      <c r="AA7" s="2">
        <v>103.7</v>
      </c>
    </row>
    <row r="8" spans="1:27" x14ac:dyDescent="0.25">
      <c r="A8">
        <v>1998</v>
      </c>
      <c r="B8" s="2">
        <v>3.5</v>
      </c>
      <c r="C8" s="2">
        <v>5.5</v>
      </c>
      <c r="D8" s="2">
        <v>5.6</v>
      </c>
      <c r="E8" s="2">
        <v>13.4</v>
      </c>
      <c r="F8" s="2">
        <v>16.3</v>
      </c>
      <c r="G8" s="2">
        <v>21.7</v>
      </c>
      <c r="H8" s="2">
        <v>22.1</v>
      </c>
      <c r="I8" s="2">
        <v>21.3</v>
      </c>
      <c r="J8" s="2">
        <v>15.8</v>
      </c>
      <c r="K8" s="2">
        <v>12.1</v>
      </c>
      <c r="L8" s="2">
        <v>3.6</v>
      </c>
      <c r="M8" s="2">
        <v>-3</v>
      </c>
      <c r="O8">
        <v>1998</v>
      </c>
      <c r="P8" s="2">
        <v>66.599999999999994</v>
      </c>
      <c r="Q8" s="2">
        <v>11.1</v>
      </c>
      <c r="R8" s="2">
        <v>54.1</v>
      </c>
      <c r="S8" s="2">
        <v>65.5</v>
      </c>
      <c r="T8" s="2">
        <v>97.7</v>
      </c>
      <c r="U8" s="2">
        <v>129.30000000000001</v>
      </c>
      <c r="V8" s="2">
        <v>124.4</v>
      </c>
      <c r="W8" s="2">
        <v>76.5</v>
      </c>
      <c r="X8" s="2">
        <v>147.30000000000001</v>
      </c>
      <c r="Y8" s="2">
        <v>123.9</v>
      </c>
      <c r="Z8" s="2">
        <v>85.9</v>
      </c>
      <c r="AA8" s="2">
        <v>56.4</v>
      </c>
    </row>
    <row r="9" spans="1:27" x14ac:dyDescent="0.25">
      <c r="A9">
        <v>1999</v>
      </c>
      <c r="B9" s="2">
        <v>1.1000000000000001</v>
      </c>
      <c r="C9" s="2">
        <v>2.1</v>
      </c>
      <c r="D9" s="2">
        <v>9.1</v>
      </c>
      <c r="E9" s="2">
        <v>12.6</v>
      </c>
      <c r="F9" s="2">
        <v>17.3</v>
      </c>
      <c r="G9" s="2">
        <v>20.2</v>
      </c>
      <c r="H9" s="2">
        <v>21.8</v>
      </c>
      <c r="I9" s="2">
        <v>21.1</v>
      </c>
      <c r="J9" s="2">
        <v>18.600000000000001</v>
      </c>
      <c r="K9" s="2">
        <v>11.7</v>
      </c>
      <c r="L9" s="2">
        <v>3.6</v>
      </c>
      <c r="M9" s="2">
        <v>1.8</v>
      </c>
      <c r="O9">
        <v>1999</v>
      </c>
      <c r="P9" s="16">
        <v>42.3</v>
      </c>
      <c r="Q9" s="16">
        <v>62.7</v>
      </c>
      <c r="R9" s="16">
        <v>37.6</v>
      </c>
      <c r="S9" s="16">
        <v>125.8</v>
      </c>
      <c r="T9" s="16">
        <v>107</v>
      </c>
      <c r="U9" s="16">
        <v>89</v>
      </c>
      <c r="V9" s="16">
        <v>85.9</v>
      </c>
      <c r="W9" s="16">
        <v>65.599999999999994</v>
      </c>
      <c r="X9" s="16">
        <v>95.4</v>
      </c>
      <c r="Y9" s="16">
        <v>72.8</v>
      </c>
      <c r="Z9" s="16">
        <v>89.3</v>
      </c>
      <c r="AA9" s="16">
        <v>104.3</v>
      </c>
    </row>
    <row r="10" spans="1:27" x14ac:dyDescent="0.25">
      <c r="A10">
        <v>2000</v>
      </c>
      <c r="B10" s="2">
        <v>-1.7</v>
      </c>
      <c r="C10" s="2">
        <v>5.0999999999999996</v>
      </c>
      <c r="D10" s="2">
        <v>8</v>
      </c>
      <c r="E10" s="2">
        <v>14.6</v>
      </c>
      <c r="F10" s="2">
        <v>17.8</v>
      </c>
      <c r="G10" s="2">
        <v>22</v>
      </c>
      <c r="H10" s="2">
        <v>21.4</v>
      </c>
      <c r="I10" s="2">
        <v>23.1</v>
      </c>
      <c r="J10" s="2">
        <v>16.600000000000001</v>
      </c>
      <c r="K10" s="2">
        <v>13.4</v>
      </c>
      <c r="L10" s="2">
        <v>9.9</v>
      </c>
      <c r="M10" s="2">
        <v>4.8</v>
      </c>
      <c r="O10">
        <v>2000</v>
      </c>
      <c r="P10" s="16">
        <v>29.1</v>
      </c>
      <c r="Q10" s="16">
        <v>36.5</v>
      </c>
      <c r="R10" s="16">
        <v>63.1</v>
      </c>
      <c r="S10" s="16">
        <v>76.599999999999994</v>
      </c>
      <c r="T10" s="16">
        <v>26</v>
      </c>
      <c r="U10" s="16">
        <v>47.4</v>
      </c>
      <c r="V10" s="16">
        <v>73.3</v>
      </c>
      <c r="W10" s="16">
        <v>20.3</v>
      </c>
      <c r="X10" s="16">
        <v>82.5</v>
      </c>
      <c r="Y10" s="16">
        <v>71.400000000000006</v>
      </c>
      <c r="Z10" s="16">
        <v>88.3</v>
      </c>
      <c r="AA10" s="16">
        <v>133.80000000000001</v>
      </c>
    </row>
    <row r="11" spans="1:27" x14ac:dyDescent="0.25">
      <c r="A11">
        <v>2001</v>
      </c>
      <c r="B11" s="16">
        <v>3.9</v>
      </c>
      <c r="C11" s="16">
        <v>4.9000000000000004</v>
      </c>
      <c r="D11" s="16">
        <v>10.6</v>
      </c>
      <c r="E11" s="16">
        <v>11.1</v>
      </c>
      <c r="F11" s="16">
        <v>18.2</v>
      </c>
      <c r="G11" s="16">
        <v>18.8</v>
      </c>
      <c r="H11" s="16">
        <v>22.5</v>
      </c>
      <c r="I11" s="16">
        <v>22.6</v>
      </c>
      <c r="J11" s="16">
        <v>14.6</v>
      </c>
      <c r="K11" s="16">
        <v>14.3</v>
      </c>
      <c r="L11" s="16">
        <v>3.3</v>
      </c>
      <c r="M11" s="16">
        <v>-2.4</v>
      </c>
      <c r="O11">
        <v>2001</v>
      </c>
      <c r="P11" s="16">
        <v>90.7</v>
      </c>
      <c r="Q11" s="16">
        <v>12.3</v>
      </c>
      <c r="R11" s="16">
        <v>95.8</v>
      </c>
      <c r="S11" s="16">
        <v>83</v>
      </c>
      <c r="T11" s="16">
        <v>61.9</v>
      </c>
      <c r="U11" s="16">
        <v>128.1</v>
      </c>
      <c r="V11" s="16">
        <v>43.8</v>
      </c>
      <c r="W11" s="16">
        <v>21.9</v>
      </c>
      <c r="X11" s="16">
        <v>249.9</v>
      </c>
      <c r="Y11" s="16">
        <v>9</v>
      </c>
      <c r="Z11" s="16">
        <v>131.9</v>
      </c>
      <c r="AA11" s="16">
        <v>45.8</v>
      </c>
    </row>
    <row r="12" spans="1:27" x14ac:dyDescent="0.25">
      <c r="A12">
        <v>2002</v>
      </c>
      <c r="B12" s="17">
        <v>0.7</v>
      </c>
      <c r="C12" s="17">
        <v>6.4</v>
      </c>
      <c r="D12" s="17">
        <v>9.1</v>
      </c>
      <c r="E12" s="17">
        <v>10.6</v>
      </c>
      <c r="F12" s="17">
        <v>18.3</v>
      </c>
      <c r="G12" s="17">
        <v>21.7</v>
      </c>
      <c r="H12" s="17">
        <v>22.1</v>
      </c>
      <c r="I12" s="17">
        <v>20.9</v>
      </c>
      <c r="J12" s="17">
        <v>15.1</v>
      </c>
      <c r="K12" s="17">
        <v>11.6</v>
      </c>
      <c r="L12" s="17">
        <v>10.3</v>
      </c>
      <c r="M12" s="17">
        <v>2.1</v>
      </c>
      <c r="O12">
        <v>2002</v>
      </c>
      <c r="P12" s="17">
        <v>26</v>
      </c>
      <c r="Q12" s="17">
        <v>70</v>
      </c>
      <c r="R12" s="17">
        <v>39</v>
      </c>
      <c r="S12" s="17">
        <v>185</v>
      </c>
      <c r="T12" s="17">
        <v>183</v>
      </c>
      <c r="U12" s="17">
        <v>56</v>
      </c>
      <c r="V12" s="17">
        <v>130</v>
      </c>
      <c r="W12" s="17">
        <v>99</v>
      </c>
      <c r="X12" s="17">
        <v>133</v>
      </c>
      <c r="Y12" s="17">
        <v>72</v>
      </c>
      <c r="Z12" s="17">
        <v>113</v>
      </c>
      <c r="AA12" s="17">
        <v>54</v>
      </c>
    </row>
    <row r="13" spans="1:27" x14ac:dyDescent="0.25">
      <c r="A13">
        <v>2003</v>
      </c>
      <c r="B13" s="17">
        <v>-1.1000000000000001</v>
      </c>
      <c r="C13" s="17">
        <v>-1.7</v>
      </c>
      <c r="D13" s="17">
        <v>7.3</v>
      </c>
      <c r="E13" s="17">
        <v>10.8</v>
      </c>
      <c r="F13" s="17">
        <v>19.2</v>
      </c>
      <c r="G13" s="17">
        <v>24.4</v>
      </c>
      <c r="H13" s="17">
        <v>23.6</v>
      </c>
      <c r="I13" s="17">
        <v>24.5</v>
      </c>
      <c r="J13" s="17">
        <v>15.5</v>
      </c>
      <c r="K13" s="17">
        <v>9.4</v>
      </c>
      <c r="L13" s="17">
        <v>8.1999999999999993</v>
      </c>
      <c r="M13" s="17">
        <v>1.7</v>
      </c>
      <c r="O13">
        <v>2003</v>
      </c>
      <c r="P13" s="17">
        <v>71.2</v>
      </c>
      <c r="Q13" s="17">
        <v>21.3</v>
      </c>
      <c r="R13" s="17">
        <v>5.0999999999999996</v>
      </c>
      <c r="S13" s="17">
        <v>29.6</v>
      </c>
      <c r="T13" s="17">
        <v>25.8</v>
      </c>
      <c r="U13" s="17">
        <v>51.4</v>
      </c>
      <c r="V13" s="17">
        <v>50.1</v>
      </c>
      <c r="W13" s="17">
        <v>93</v>
      </c>
      <c r="X13" s="17">
        <v>80.099999999999994</v>
      </c>
      <c r="Y13" s="17">
        <v>98.9</v>
      </c>
      <c r="Z13" s="17">
        <v>63.5</v>
      </c>
      <c r="AA13" s="17">
        <v>24.8</v>
      </c>
    </row>
    <row r="14" spans="1:27" x14ac:dyDescent="0.25">
      <c r="A14">
        <v>2004</v>
      </c>
      <c r="B14" s="16">
        <v>-0.3</v>
      </c>
      <c r="C14" s="16">
        <v>2.7</v>
      </c>
      <c r="D14" s="16">
        <v>5.7</v>
      </c>
      <c r="E14" s="16">
        <v>11.8</v>
      </c>
      <c r="F14" s="16">
        <v>15</v>
      </c>
      <c r="G14" s="16">
        <v>19.3</v>
      </c>
      <c r="H14" s="16">
        <v>21.3</v>
      </c>
      <c r="I14" s="16">
        <v>21.1</v>
      </c>
      <c r="J14" s="16">
        <v>15.6</v>
      </c>
      <c r="K14" s="16">
        <v>13.4</v>
      </c>
      <c r="L14" s="16">
        <v>6.7</v>
      </c>
      <c r="M14" s="16">
        <v>1.9</v>
      </c>
      <c r="O14">
        <v>2004</v>
      </c>
      <c r="P14" s="16">
        <v>79</v>
      </c>
      <c r="Q14" s="16">
        <v>64.2</v>
      </c>
      <c r="R14" s="16">
        <v>63.8</v>
      </c>
      <c r="S14" s="16">
        <v>151.9</v>
      </c>
      <c r="T14" s="16">
        <v>65</v>
      </c>
      <c r="U14" s="16">
        <v>119.6</v>
      </c>
      <c r="V14" s="16">
        <v>45.1</v>
      </c>
      <c r="W14" s="16">
        <v>60.6</v>
      </c>
      <c r="X14" s="16">
        <v>115</v>
      </c>
      <c r="Y14" s="16">
        <v>114.9</v>
      </c>
      <c r="Z14" s="16">
        <v>71.2</v>
      </c>
      <c r="AA14" s="16">
        <v>55.6</v>
      </c>
    </row>
    <row r="15" spans="1:27" x14ac:dyDescent="0.25">
      <c r="A15">
        <v>2005</v>
      </c>
      <c r="B15" s="16">
        <v>-0.7</v>
      </c>
      <c r="C15" s="16">
        <v>-1.5</v>
      </c>
      <c r="D15" s="16">
        <v>5.5</v>
      </c>
      <c r="E15" s="16">
        <v>11.8</v>
      </c>
      <c r="F15" s="16">
        <v>16.8</v>
      </c>
      <c r="G15" s="16">
        <v>20.100000000000001</v>
      </c>
      <c r="H15" s="16">
        <v>21.7</v>
      </c>
      <c r="I15" s="16">
        <v>19</v>
      </c>
      <c r="J15" s="16">
        <v>16.899999999999999</v>
      </c>
      <c r="K15" s="16">
        <v>11.6</v>
      </c>
      <c r="L15" s="16">
        <v>5.3</v>
      </c>
      <c r="M15" s="16">
        <v>1.6</v>
      </c>
      <c r="O15">
        <v>2005</v>
      </c>
      <c r="P15" s="16">
        <v>17.5</v>
      </c>
      <c r="Q15" s="16">
        <v>71.7</v>
      </c>
      <c r="R15" s="16">
        <v>55.9</v>
      </c>
      <c r="S15" s="16">
        <v>65</v>
      </c>
      <c r="T15" s="16">
        <v>75.900000000000006</v>
      </c>
      <c r="U15" s="16">
        <v>40</v>
      </c>
      <c r="V15" s="16">
        <v>103.6</v>
      </c>
      <c r="W15" s="16">
        <v>102.3</v>
      </c>
      <c r="X15" s="16">
        <v>83.5</v>
      </c>
      <c r="Y15" s="16">
        <v>35.6</v>
      </c>
      <c r="Z15" s="16">
        <v>57.7</v>
      </c>
      <c r="AA15" s="16">
        <v>136.4</v>
      </c>
    </row>
    <row r="16" spans="1:27" x14ac:dyDescent="0.25">
      <c r="A16">
        <v>2006</v>
      </c>
      <c r="B16" s="16">
        <v>-1.4</v>
      </c>
      <c r="C16" s="16">
        <v>1.6</v>
      </c>
      <c r="D16" s="16">
        <v>5.7</v>
      </c>
      <c r="E16" s="16">
        <v>12.7</v>
      </c>
      <c r="F16" s="16">
        <v>16.3</v>
      </c>
      <c r="G16" s="16">
        <v>20.5</v>
      </c>
      <c r="H16" s="16">
        <v>23.3</v>
      </c>
      <c r="I16" s="16">
        <v>19.2</v>
      </c>
      <c r="J16" s="16">
        <v>17.5</v>
      </c>
      <c r="K16" s="16">
        <v>13.2</v>
      </c>
      <c r="L16" s="16">
        <v>9.1</v>
      </c>
      <c r="M16" s="16">
        <v>4</v>
      </c>
      <c r="O16">
        <v>2006</v>
      </c>
      <c r="P16" s="16">
        <v>43.9</v>
      </c>
      <c r="Q16" s="16">
        <v>36.200000000000003</v>
      </c>
      <c r="R16" s="16">
        <v>57.4</v>
      </c>
      <c r="S16" s="16">
        <v>145.30000000000001</v>
      </c>
      <c r="T16" s="16">
        <v>92</v>
      </c>
      <c r="U16" s="16">
        <v>63</v>
      </c>
      <c r="V16" s="16">
        <v>73.099999999999994</v>
      </c>
      <c r="W16" s="16">
        <v>201.7</v>
      </c>
      <c r="X16" s="16">
        <v>39.299999999999997</v>
      </c>
      <c r="Y16" s="16">
        <v>26.5</v>
      </c>
      <c r="Z16" s="16">
        <v>85.5</v>
      </c>
      <c r="AA16" s="16">
        <v>27.6</v>
      </c>
    </row>
    <row r="17" spans="1:27" x14ac:dyDescent="0.25">
      <c r="A17">
        <v>2007</v>
      </c>
      <c r="B17" s="16">
        <v>6.7</v>
      </c>
      <c r="C17" s="16">
        <v>7.2</v>
      </c>
      <c r="D17" s="16">
        <v>8.8000000000000007</v>
      </c>
      <c r="E17" s="16">
        <v>13.8</v>
      </c>
      <c r="F17" s="16">
        <v>18</v>
      </c>
      <c r="G17" s="16">
        <v>22.5</v>
      </c>
      <c r="H17" s="16">
        <v>23.5</v>
      </c>
      <c r="I17" s="16">
        <v>21.7</v>
      </c>
      <c r="J17" s="16">
        <v>14.8</v>
      </c>
      <c r="K17" s="16">
        <v>9.6999999999999993</v>
      </c>
      <c r="L17" s="16">
        <v>4.7</v>
      </c>
      <c r="M17" s="16">
        <v>0.4</v>
      </c>
      <c r="O17">
        <v>2007</v>
      </c>
      <c r="P17" s="16">
        <v>81.5</v>
      </c>
      <c r="Q17" s="16">
        <v>57.5</v>
      </c>
      <c r="R17" s="16">
        <v>85.3</v>
      </c>
      <c r="S17" s="16">
        <v>6.5</v>
      </c>
      <c r="T17" s="16">
        <v>92.3</v>
      </c>
      <c r="U17" s="16">
        <v>42.9</v>
      </c>
      <c r="V17" s="16">
        <v>26.5</v>
      </c>
      <c r="W17" s="16">
        <v>54.7</v>
      </c>
      <c r="X17" s="16">
        <v>140.80000000000001</v>
      </c>
      <c r="Y17" s="16">
        <v>141.1</v>
      </c>
      <c r="Z17" s="16">
        <v>96.9</v>
      </c>
      <c r="AA17" s="16">
        <v>73.099999999999994</v>
      </c>
    </row>
    <row r="18" spans="1:27" x14ac:dyDescent="0.25">
      <c r="A18">
        <v>2008</v>
      </c>
      <c r="B18" s="16">
        <v>2.2000000000000002</v>
      </c>
      <c r="C18" s="16">
        <v>5.3</v>
      </c>
      <c r="D18" s="16">
        <v>7.8</v>
      </c>
      <c r="E18" s="16">
        <v>12.4</v>
      </c>
      <c r="F18" s="16">
        <v>17.5</v>
      </c>
      <c r="G18" s="16">
        <v>21.4</v>
      </c>
      <c r="H18" s="16">
        <v>22</v>
      </c>
      <c r="I18" s="16">
        <v>21.4</v>
      </c>
      <c r="J18" s="16">
        <v>15</v>
      </c>
      <c r="K18" s="16">
        <v>12.6</v>
      </c>
      <c r="L18" s="16">
        <v>7.5</v>
      </c>
      <c r="M18" s="16">
        <v>3.6</v>
      </c>
      <c r="O18">
        <v>2008</v>
      </c>
      <c r="P18" s="16">
        <v>30.5</v>
      </c>
      <c r="Q18" s="16">
        <v>7.9</v>
      </c>
      <c r="R18" s="16">
        <v>114.5</v>
      </c>
      <c r="S18" s="16">
        <v>47.6</v>
      </c>
      <c r="T18" s="16">
        <v>36.200000000000003</v>
      </c>
      <c r="U18" s="16">
        <v>154.5</v>
      </c>
      <c r="V18" s="16">
        <v>119.8</v>
      </c>
      <c r="W18" s="16">
        <v>65.2</v>
      </c>
      <c r="X18" s="16">
        <v>98.3</v>
      </c>
      <c r="Y18" s="16">
        <v>88.1</v>
      </c>
      <c r="Z18" s="16">
        <v>86.1</v>
      </c>
      <c r="AA18" s="16">
        <v>101.1</v>
      </c>
    </row>
    <row r="19" spans="1:27" x14ac:dyDescent="0.25">
      <c r="A19">
        <v>2009</v>
      </c>
      <c r="B19" s="16">
        <v>-1.4</v>
      </c>
      <c r="C19" s="16">
        <v>3.2</v>
      </c>
      <c r="D19" s="16">
        <v>7.6</v>
      </c>
      <c r="E19" s="16">
        <v>14.8</v>
      </c>
      <c r="F19" s="16">
        <v>18.600000000000001</v>
      </c>
      <c r="G19" s="16">
        <v>19.7</v>
      </c>
      <c r="H19" s="16">
        <v>22.5</v>
      </c>
      <c r="I19" s="16">
        <v>22.4</v>
      </c>
      <c r="J19" s="16">
        <v>18</v>
      </c>
      <c r="K19" s="16">
        <v>11.3</v>
      </c>
      <c r="L19" s="16">
        <v>8.4</v>
      </c>
      <c r="M19" s="16">
        <v>3.5</v>
      </c>
      <c r="O19">
        <v>2009</v>
      </c>
      <c r="P19" s="16">
        <v>113.2</v>
      </c>
      <c r="Q19" s="16">
        <v>40.4</v>
      </c>
      <c r="R19" s="16">
        <v>53.6</v>
      </c>
      <c r="S19" s="16">
        <v>31.3</v>
      </c>
      <c r="T19" s="16">
        <v>44.2</v>
      </c>
      <c r="U19" s="16">
        <v>153.19999999999999</v>
      </c>
      <c r="V19" s="16">
        <v>171.4</v>
      </c>
      <c r="W19" s="16">
        <v>37.299999999999997</v>
      </c>
      <c r="X19" s="16">
        <v>30.2</v>
      </c>
      <c r="Y19" s="16">
        <v>88.4</v>
      </c>
      <c r="Z19" s="16">
        <v>102.3</v>
      </c>
      <c r="AA19" s="16">
        <v>94.8</v>
      </c>
    </row>
    <row r="20" spans="1:27" x14ac:dyDescent="0.25">
      <c r="A20">
        <v>2010</v>
      </c>
      <c r="B20" s="16">
        <v>-0.6</v>
      </c>
      <c r="C20" s="16">
        <v>1.8</v>
      </c>
      <c r="D20" s="16">
        <v>7.4</v>
      </c>
      <c r="E20" s="16">
        <v>12.4</v>
      </c>
      <c r="F20" s="16">
        <v>16.5</v>
      </c>
      <c r="G20" s="16">
        <v>20.5</v>
      </c>
      <c r="H20" s="16">
        <v>23.4</v>
      </c>
      <c r="I20" s="16">
        <v>20.9</v>
      </c>
      <c r="J20" s="16">
        <v>14.9</v>
      </c>
      <c r="K20" s="16">
        <v>9.1</v>
      </c>
      <c r="L20" s="16">
        <v>9.1</v>
      </c>
      <c r="M20" s="16">
        <v>0.7</v>
      </c>
      <c r="O20">
        <v>2010</v>
      </c>
      <c r="P20" s="16">
        <v>105.4</v>
      </c>
      <c r="Q20" s="16">
        <v>88.6</v>
      </c>
      <c r="R20" s="16">
        <v>66.3</v>
      </c>
      <c r="S20" s="16">
        <v>59</v>
      </c>
      <c r="T20" s="16">
        <v>156.9</v>
      </c>
      <c r="U20" s="16">
        <v>146.19999999999999</v>
      </c>
      <c r="V20" s="16">
        <v>64.900000000000006</v>
      </c>
      <c r="W20" s="16">
        <v>156.6</v>
      </c>
      <c r="X20" s="16">
        <v>172.4</v>
      </c>
      <c r="Y20" s="16">
        <v>64.8</v>
      </c>
      <c r="Z20" s="16">
        <v>140</v>
      </c>
      <c r="AA20" s="16">
        <v>63.2</v>
      </c>
    </row>
    <row r="21" spans="1:27" x14ac:dyDescent="0.25">
      <c r="A21">
        <v>2011</v>
      </c>
      <c r="B21" s="16">
        <v>2.1</v>
      </c>
      <c r="C21" s="16">
        <v>1.1000000000000001</v>
      </c>
      <c r="D21" s="16">
        <v>7.3</v>
      </c>
      <c r="E21" s="16">
        <v>13.6</v>
      </c>
      <c r="F21" s="16">
        <v>16.7</v>
      </c>
      <c r="G21" s="16">
        <v>21</v>
      </c>
      <c r="H21" s="16">
        <v>22.2</v>
      </c>
      <c r="I21" s="16">
        <v>22.8</v>
      </c>
      <c r="J21" s="16">
        <v>19.5</v>
      </c>
      <c r="K21" s="16">
        <v>10.1</v>
      </c>
      <c r="L21" s="16">
        <v>2.7</v>
      </c>
      <c r="M21" s="16">
        <v>3.8</v>
      </c>
      <c r="O21">
        <v>2011</v>
      </c>
      <c r="P21" s="16">
        <v>15.3</v>
      </c>
      <c r="Q21" s="16">
        <v>13.5</v>
      </c>
      <c r="R21" s="16">
        <v>21</v>
      </c>
      <c r="S21" s="16">
        <v>31.2</v>
      </c>
      <c r="T21" s="16">
        <v>31.7</v>
      </c>
      <c r="U21" s="16">
        <v>125</v>
      </c>
      <c r="V21" s="16">
        <v>88.3</v>
      </c>
      <c r="W21" s="16">
        <v>42</v>
      </c>
      <c r="X21" s="16">
        <v>30.2</v>
      </c>
      <c r="Y21" s="16">
        <v>79.8</v>
      </c>
      <c r="Z21" s="16">
        <v>1.5</v>
      </c>
      <c r="AA21" s="16">
        <v>75.400000000000006</v>
      </c>
    </row>
    <row r="22" spans="1:27" x14ac:dyDescent="0.25">
      <c r="A22">
        <v>2012</v>
      </c>
      <c r="B22" s="16">
        <v>2.1</v>
      </c>
      <c r="C22" s="16">
        <v>-2.4</v>
      </c>
      <c r="D22" s="16">
        <v>9.4</v>
      </c>
      <c r="E22" s="16">
        <v>12.8</v>
      </c>
      <c r="F22" s="16">
        <v>16.600000000000001</v>
      </c>
      <c r="G22" s="16">
        <v>22.7</v>
      </c>
      <c r="H22" s="16">
        <v>24</v>
      </c>
      <c r="I22" s="16">
        <v>23.8</v>
      </c>
      <c r="J22" s="16">
        <v>17.8</v>
      </c>
      <c r="K22" s="16">
        <v>11.8</v>
      </c>
      <c r="L22" s="16">
        <v>9</v>
      </c>
      <c r="M22" s="16">
        <v>1.4</v>
      </c>
      <c r="O22">
        <v>2012</v>
      </c>
      <c r="P22" s="16">
        <v>27.4</v>
      </c>
      <c r="Q22" s="16">
        <v>53.9</v>
      </c>
      <c r="R22" s="16">
        <v>10.1</v>
      </c>
      <c r="S22" s="16">
        <v>34.200000000000003</v>
      </c>
      <c r="T22" s="16">
        <v>120</v>
      </c>
      <c r="U22" s="16">
        <v>113.9</v>
      </c>
      <c r="V22" s="16">
        <v>32.5</v>
      </c>
      <c r="W22" s="16">
        <v>15.1</v>
      </c>
      <c r="X22" s="16">
        <v>109.2</v>
      </c>
      <c r="Y22" s="16">
        <v>71.8</v>
      </c>
      <c r="Z22" s="16">
        <v>100.3</v>
      </c>
      <c r="AA22" s="16">
        <v>122.5</v>
      </c>
    </row>
    <row r="23" spans="1:27" x14ac:dyDescent="0.25">
      <c r="A23">
        <v>2013</v>
      </c>
      <c r="B23" s="16">
        <v>1.3</v>
      </c>
      <c r="C23" s="16">
        <v>1.8</v>
      </c>
      <c r="D23" s="16">
        <v>5</v>
      </c>
      <c r="E23" s="16">
        <v>13.4</v>
      </c>
      <c r="F23" s="16">
        <v>16.5</v>
      </c>
      <c r="G23" s="16">
        <v>20.2</v>
      </c>
      <c r="H23" s="16">
        <v>23</v>
      </c>
      <c r="I23" s="16">
        <v>22.3</v>
      </c>
      <c r="J23" s="16">
        <v>15.8</v>
      </c>
      <c r="K23" s="16">
        <v>13.2</v>
      </c>
      <c r="L23" s="16">
        <v>7.1</v>
      </c>
      <c r="M23" s="16">
        <v>2.7</v>
      </c>
      <c r="O23">
        <v>2013</v>
      </c>
      <c r="P23" s="16">
        <v>147.4</v>
      </c>
      <c r="Q23" s="16">
        <v>102.2</v>
      </c>
      <c r="R23" s="16">
        <v>136.9</v>
      </c>
      <c r="S23" s="16">
        <v>75.7</v>
      </c>
      <c r="T23" s="16">
        <v>58</v>
      </c>
      <c r="U23" s="16">
        <v>34.5</v>
      </c>
      <c r="V23" s="16">
        <v>97.4</v>
      </c>
      <c r="W23" s="16">
        <v>48.5</v>
      </c>
      <c r="X23" s="16">
        <v>149.4</v>
      </c>
      <c r="Y23" s="16">
        <v>42.4</v>
      </c>
      <c r="Z23" s="16">
        <v>173.2</v>
      </c>
      <c r="AA23" s="16">
        <v>6.3</v>
      </c>
    </row>
    <row r="24" spans="1:27" x14ac:dyDescent="0.25">
      <c r="A24">
        <v>2014</v>
      </c>
      <c r="B24" s="16">
        <v>5.0999999999999996</v>
      </c>
      <c r="C24" s="16">
        <v>5.4</v>
      </c>
      <c r="D24" s="16">
        <v>10.3</v>
      </c>
      <c r="E24" s="16">
        <v>13.1</v>
      </c>
      <c r="F24" s="16">
        <v>15.8</v>
      </c>
      <c r="G24" s="16">
        <v>20.3</v>
      </c>
      <c r="H24" s="16">
        <v>21.7</v>
      </c>
      <c r="I24" s="16">
        <v>20.2</v>
      </c>
      <c r="J24" s="16">
        <v>16.2</v>
      </c>
      <c r="K24" s="16">
        <v>13.5</v>
      </c>
      <c r="L24" s="16">
        <v>8.8000000000000007</v>
      </c>
      <c r="M24" s="16">
        <v>4.4000000000000004</v>
      </c>
      <c r="O24">
        <v>2014</v>
      </c>
      <c r="P24" s="16">
        <v>55.5</v>
      </c>
      <c r="Q24" s="16">
        <v>138.80000000000001</v>
      </c>
      <c r="R24" s="16">
        <v>47.5</v>
      </c>
      <c r="S24" s="16">
        <v>123.6</v>
      </c>
      <c r="T24" s="16">
        <v>193</v>
      </c>
      <c r="U24" s="16">
        <v>73.8</v>
      </c>
      <c r="V24" s="16">
        <v>152.5</v>
      </c>
      <c r="W24" s="16">
        <v>169.2</v>
      </c>
      <c r="X24" s="16">
        <v>213.9</v>
      </c>
      <c r="Y24" s="16">
        <v>137.30000000000001</v>
      </c>
      <c r="Z24" s="16">
        <v>51.4</v>
      </c>
      <c r="AA24" s="16">
        <v>94.3</v>
      </c>
    </row>
    <row r="25" spans="1:27" x14ac:dyDescent="0.25">
      <c r="A25">
        <v>2015</v>
      </c>
      <c r="B25" s="16">
        <v>3.5</v>
      </c>
      <c r="C25" s="16">
        <v>1.8</v>
      </c>
      <c r="D25" s="16">
        <v>7.6</v>
      </c>
      <c r="E25" s="16">
        <v>12.2</v>
      </c>
      <c r="F25" s="16">
        <v>17.399999999999999</v>
      </c>
      <c r="G25" s="16">
        <v>20.8</v>
      </c>
      <c r="H25" s="16">
        <v>24.4</v>
      </c>
      <c r="I25" s="16">
        <v>23</v>
      </c>
      <c r="J25" s="16">
        <v>17</v>
      </c>
      <c r="K25" s="16">
        <v>10.8</v>
      </c>
      <c r="L25" s="16">
        <v>7.3</v>
      </c>
      <c r="M25" s="16">
        <v>3</v>
      </c>
      <c r="O25">
        <v>2015</v>
      </c>
      <c r="P25" s="16">
        <v>83.9</v>
      </c>
      <c r="Q25" s="16">
        <v>101.9</v>
      </c>
      <c r="R25" s="16">
        <v>29.6</v>
      </c>
      <c r="S25" s="16">
        <v>50.1</v>
      </c>
      <c r="T25" s="16">
        <v>171</v>
      </c>
      <c r="U25" s="16">
        <v>61.9</v>
      </c>
      <c r="V25" s="16">
        <v>25.7</v>
      </c>
      <c r="W25" s="16">
        <v>117.2</v>
      </c>
      <c r="X25" s="16">
        <v>112.4</v>
      </c>
      <c r="Y25" s="16">
        <v>199.1</v>
      </c>
      <c r="Z25" s="16">
        <v>47.9</v>
      </c>
      <c r="AA25" s="16">
        <v>1.8</v>
      </c>
    </row>
    <row r="26" spans="1:27" x14ac:dyDescent="0.25">
      <c r="A26">
        <v>2016</v>
      </c>
      <c r="B26" s="16">
        <v>1.6</v>
      </c>
      <c r="C26" s="16">
        <v>7.1</v>
      </c>
      <c r="D26" s="16">
        <v>7.8</v>
      </c>
      <c r="E26" s="15">
        <v>12.9</v>
      </c>
      <c r="F26" s="16">
        <v>16.2</v>
      </c>
      <c r="G26" s="16">
        <v>21.2</v>
      </c>
      <c r="H26" s="16">
        <v>23.5</v>
      </c>
      <c r="I26" s="16">
        <v>20.399999999999999</v>
      </c>
      <c r="J26" s="16">
        <v>18</v>
      </c>
      <c r="K26" s="16">
        <v>10.1</v>
      </c>
      <c r="L26" s="16">
        <v>7.1</v>
      </c>
      <c r="M26" s="16">
        <v>-0.4</v>
      </c>
      <c r="O26">
        <v>2016</v>
      </c>
      <c r="P26" s="16">
        <v>102.6</v>
      </c>
      <c r="Q26" s="16">
        <v>129.1</v>
      </c>
      <c r="R26" s="16">
        <v>90.2</v>
      </c>
      <c r="S26" s="16">
        <v>51.6</v>
      </c>
      <c r="T26" s="16">
        <v>108.4</v>
      </c>
      <c r="U26" s="16">
        <v>121.4</v>
      </c>
      <c r="V26" s="16">
        <v>97.7</v>
      </c>
      <c r="W26" s="16">
        <v>50.4</v>
      </c>
      <c r="X26" s="16">
        <v>64.5</v>
      </c>
      <c r="Y26" s="16">
        <v>88.6</v>
      </c>
      <c r="Z26" s="16">
        <v>116.2</v>
      </c>
      <c r="AA26" s="16">
        <v>3.6</v>
      </c>
    </row>
    <row r="27" spans="1:27" x14ac:dyDescent="0.25">
      <c r="A27">
        <v>2017</v>
      </c>
      <c r="B27" s="16">
        <v>-4</v>
      </c>
      <c r="C27" s="16">
        <v>5.2</v>
      </c>
      <c r="D27" s="16">
        <v>9.8000000000000007</v>
      </c>
      <c r="E27" s="15">
        <v>12</v>
      </c>
      <c r="F27" s="16">
        <v>17.5</v>
      </c>
      <c r="G27" s="16">
        <v>22.8</v>
      </c>
      <c r="H27" s="16">
        <v>23.7</v>
      </c>
      <c r="I27" s="16">
        <v>23.2</v>
      </c>
      <c r="J27" s="16">
        <v>15.1</v>
      </c>
      <c r="K27" s="16">
        <v>11.6</v>
      </c>
      <c r="L27" s="16">
        <v>7.3</v>
      </c>
      <c r="M27" s="16">
        <v>4.3</v>
      </c>
      <c r="O27">
        <v>2017</v>
      </c>
      <c r="P27" s="16">
        <v>46.4</v>
      </c>
      <c r="Q27" s="16">
        <v>66.400000000000006</v>
      </c>
      <c r="R27" s="16">
        <v>47.8</v>
      </c>
      <c r="S27" s="16">
        <v>63.2</v>
      </c>
      <c r="T27" s="16">
        <v>78.7</v>
      </c>
      <c r="U27" s="16">
        <v>48.1</v>
      </c>
      <c r="V27" s="16">
        <v>64.900000000000006</v>
      </c>
      <c r="W27" s="16">
        <v>28</v>
      </c>
      <c r="X27" s="16">
        <v>191</v>
      </c>
      <c r="Y27" s="16">
        <v>81.099999999999994</v>
      </c>
      <c r="Z27" s="16">
        <v>109.4</v>
      </c>
      <c r="AA27" s="16">
        <v>113.6</v>
      </c>
    </row>
    <row r="28" spans="1:27" x14ac:dyDescent="0.25">
      <c r="A28">
        <v>2018</v>
      </c>
      <c r="B28" s="2">
        <v>5.5</v>
      </c>
      <c r="C28" s="2">
        <v>-0.1</v>
      </c>
      <c r="D28" s="2">
        <v>5.4</v>
      </c>
      <c r="E28" s="2">
        <v>15.8</v>
      </c>
      <c r="F28" s="2">
        <v>19.100000000000001</v>
      </c>
      <c r="G28" s="2">
        <v>21</v>
      </c>
      <c r="H28" s="2">
        <v>22.5</v>
      </c>
      <c r="I28" s="2">
        <v>22.9</v>
      </c>
      <c r="J28" s="2">
        <v>17.100000000000001</v>
      </c>
      <c r="K28" s="2">
        <v>13.3</v>
      </c>
      <c r="L28" s="2">
        <v>7.6</v>
      </c>
      <c r="M28" s="2">
        <v>2</v>
      </c>
      <c r="O28">
        <v>2018</v>
      </c>
      <c r="P28" s="2">
        <v>66.5</v>
      </c>
      <c r="Q28" s="2">
        <v>135.6</v>
      </c>
      <c r="R28" s="2">
        <v>109.1</v>
      </c>
      <c r="S28" s="2">
        <v>57.6</v>
      </c>
      <c r="T28" s="2">
        <v>114.2</v>
      </c>
      <c r="U28" s="2">
        <v>99.9</v>
      </c>
      <c r="V28" s="2">
        <v>91.4</v>
      </c>
      <c r="W28" s="2">
        <v>47.5</v>
      </c>
      <c r="X28" s="2">
        <v>60.4</v>
      </c>
      <c r="Y28" s="2">
        <v>42.4</v>
      </c>
      <c r="Z28" s="2">
        <v>60.9</v>
      </c>
      <c r="AA28" s="2">
        <v>38.6</v>
      </c>
    </row>
    <row r="29" spans="1:27" x14ac:dyDescent="0.25">
      <c r="A29">
        <v>2019</v>
      </c>
      <c r="B29" s="2">
        <v>1.1000000000000001</v>
      </c>
      <c r="C29" s="2">
        <v>4.9000000000000004</v>
      </c>
      <c r="D29" s="2">
        <v>9.5</v>
      </c>
      <c r="E29" s="2">
        <v>12.2</v>
      </c>
      <c r="F29" s="2">
        <v>13.7</v>
      </c>
      <c r="G29" s="2">
        <v>23.6</v>
      </c>
      <c r="H29" s="2">
        <v>22.7</v>
      </c>
      <c r="I29" s="2">
        <v>23.4</v>
      </c>
      <c r="J29" s="2">
        <v>17</v>
      </c>
      <c r="K29" s="2">
        <v>13</v>
      </c>
      <c r="L29" s="2">
        <v>9</v>
      </c>
      <c r="M29" s="2">
        <v>4.5999999999999996</v>
      </c>
      <c r="O29">
        <v>2019</v>
      </c>
      <c r="P29" s="2">
        <v>57.9</v>
      </c>
      <c r="Q29" s="2">
        <v>29.6</v>
      </c>
      <c r="R29" s="2">
        <v>33.6</v>
      </c>
      <c r="S29" s="2">
        <v>89.8</v>
      </c>
      <c r="T29" s="2">
        <v>247</v>
      </c>
      <c r="U29" s="2">
        <v>84.5</v>
      </c>
      <c r="V29" s="2">
        <v>85.1</v>
      </c>
      <c r="W29" s="2">
        <v>35</v>
      </c>
      <c r="X29" s="2">
        <v>133.4</v>
      </c>
      <c r="Y29" s="2">
        <v>44.1</v>
      </c>
      <c r="Z29" s="2">
        <v>184.2</v>
      </c>
      <c r="AA29" s="2">
        <v>72.099999999999994</v>
      </c>
    </row>
    <row r="30" spans="1:27" x14ac:dyDescent="0.25">
      <c r="A30">
        <v>2020</v>
      </c>
      <c r="B30" s="2">
        <v>1</v>
      </c>
      <c r="C30" s="2">
        <v>7.4</v>
      </c>
      <c r="D30" s="2">
        <v>7.9</v>
      </c>
      <c r="E30" s="2">
        <v>12.9</v>
      </c>
      <c r="F30" s="2">
        <v>15.6</v>
      </c>
      <c r="G30" s="2">
        <v>20.399999999999999</v>
      </c>
      <c r="H30" s="2">
        <v>22.2</v>
      </c>
      <c r="I30" s="2">
        <v>23.1</v>
      </c>
      <c r="J30" s="2">
        <v>17.600000000000001</v>
      </c>
      <c r="K30" s="2">
        <v>12.6</v>
      </c>
      <c r="L30" s="2">
        <v>5.6</v>
      </c>
      <c r="M30" s="2">
        <v>3.8</v>
      </c>
      <c r="O30">
        <v>2020</v>
      </c>
      <c r="P30" s="2">
        <v>11.5</v>
      </c>
      <c r="Q30" s="2">
        <v>48.2</v>
      </c>
      <c r="R30" s="2">
        <v>31.3</v>
      </c>
      <c r="S30" s="2">
        <v>8.6999999999999993</v>
      </c>
      <c r="T30" s="2">
        <v>98.5</v>
      </c>
      <c r="U30" s="2">
        <v>57.8</v>
      </c>
      <c r="V30" s="2">
        <v>54</v>
      </c>
      <c r="W30" s="2">
        <v>112.9</v>
      </c>
      <c r="X30" s="2">
        <v>115.5</v>
      </c>
      <c r="Y30" s="2">
        <v>135</v>
      </c>
      <c r="Z30" s="2">
        <v>21.8</v>
      </c>
      <c r="AA30" s="2">
        <v>65.5</v>
      </c>
    </row>
    <row r="31" spans="1:27" x14ac:dyDescent="0.25">
      <c r="A31">
        <v>2021</v>
      </c>
      <c r="B31" s="2">
        <v>2.9</v>
      </c>
      <c r="C31" s="2">
        <v>5.9</v>
      </c>
      <c r="D31" s="2">
        <v>6.6</v>
      </c>
      <c r="E31" s="2">
        <v>9.6999999999999993</v>
      </c>
      <c r="F31" s="2">
        <v>15.1</v>
      </c>
      <c r="G31" s="2">
        <v>23.5</v>
      </c>
      <c r="H31" s="2">
        <v>24.3</v>
      </c>
      <c r="I31" s="2">
        <v>21.2</v>
      </c>
      <c r="J31" s="2">
        <v>17.100000000000001</v>
      </c>
      <c r="K31" s="2">
        <v>9.5</v>
      </c>
      <c r="L31" s="2">
        <v>6.3</v>
      </c>
      <c r="M31" s="2">
        <v>3.4</v>
      </c>
      <c r="O31">
        <v>2021</v>
      </c>
      <c r="P31" s="2">
        <v>79.3</v>
      </c>
      <c r="Q31" s="2">
        <v>54.3</v>
      </c>
      <c r="R31" s="2">
        <v>53.1</v>
      </c>
      <c r="S31" s="2">
        <v>74.400000000000006</v>
      </c>
      <c r="T31" s="2">
        <v>127.2</v>
      </c>
      <c r="U31" s="2">
        <v>8.8000000000000007</v>
      </c>
      <c r="V31" s="2">
        <v>76.599999999999994</v>
      </c>
      <c r="W31" s="2">
        <v>51.5</v>
      </c>
      <c r="X31" s="2">
        <v>69.5</v>
      </c>
      <c r="Y31" s="2">
        <v>143.30000000000001</v>
      </c>
      <c r="Z31" s="2">
        <v>86.9</v>
      </c>
      <c r="AA31" s="2">
        <v>99.9</v>
      </c>
    </row>
    <row r="32" spans="1:27" x14ac:dyDescent="0.25">
      <c r="A32">
        <v>2022</v>
      </c>
      <c r="B32" s="2">
        <v>1.4</v>
      </c>
      <c r="C32" s="2">
        <v>5.7</v>
      </c>
      <c r="D32" s="2">
        <v>5.8</v>
      </c>
      <c r="E32" s="2">
        <v>11.1</v>
      </c>
      <c r="F32" s="2">
        <v>18.7</v>
      </c>
      <c r="G32" s="2">
        <v>23.4</v>
      </c>
      <c r="H32" s="2">
        <v>23.5</v>
      </c>
      <c r="I32" s="2">
        <v>22.9</v>
      </c>
      <c r="J32" s="2">
        <v>16.7</v>
      </c>
      <c r="K32" s="2">
        <v>14.1</v>
      </c>
      <c r="L32" s="2">
        <v>7.6</v>
      </c>
      <c r="M32" s="2">
        <v>4.9000000000000004</v>
      </c>
      <c r="O32">
        <v>2022</v>
      </c>
      <c r="P32" s="2">
        <v>31.9</v>
      </c>
      <c r="Q32" s="2">
        <v>53.2</v>
      </c>
      <c r="R32" s="2">
        <v>6.6</v>
      </c>
      <c r="S32" s="2">
        <v>92.3</v>
      </c>
      <c r="T32" s="2">
        <v>67.7</v>
      </c>
      <c r="U32" s="2">
        <v>83.2</v>
      </c>
      <c r="V32" s="2">
        <v>53.1</v>
      </c>
      <c r="W32" s="2">
        <v>28.4</v>
      </c>
      <c r="X32" s="2">
        <v>253.6</v>
      </c>
      <c r="Y32" s="2">
        <v>49.1</v>
      </c>
      <c r="Z32" s="2">
        <v>170.1</v>
      </c>
      <c r="AA32" s="2">
        <v>113.6</v>
      </c>
    </row>
    <row r="33" spans="1:27" x14ac:dyDescent="0.25">
      <c r="A33">
        <v>2023</v>
      </c>
      <c r="B33" s="2">
        <v>5</v>
      </c>
      <c r="C33" s="2">
        <v>4</v>
      </c>
      <c r="D33" s="2">
        <v>9.1999999999999993</v>
      </c>
      <c r="E33" s="2">
        <v>10.7</v>
      </c>
      <c r="F33" s="2">
        <v>16.100000000000001</v>
      </c>
      <c r="G33" s="2">
        <v>21.5</v>
      </c>
      <c r="H33" s="2">
        <v>23.9</v>
      </c>
      <c r="I33" s="2">
        <v>22.5</v>
      </c>
      <c r="J33" s="2">
        <v>20</v>
      </c>
      <c r="K33" s="2">
        <v>16</v>
      </c>
      <c r="L33" s="2">
        <v>7.8</v>
      </c>
      <c r="M33" s="2">
        <v>4.7</v>
      </c>
      <c r="O33">
        <v>2023</v>
      </c>
      <c r="P33" s="2">
        <v>160.19999999999999</v>
      </c>
      <c r="Q33" s="2">
        <v>48.2</v>
      </c>
      <c r="R33" s="2">
        <v>73.099999999999994</v>
      </c>
      <c r="S33" s="2">
        <v>120.6</v>
      </c>
      <c r="T33" s="2">
        <v>126.7</v>
      </c>
      <c r="U33" s="2">
        <v>88.1</v>
      </c>
      <c r="V33" s="2">
        <v>124</v>
      </c>
      <c r="W33" s="2">
        <v>62.1</v>
      </c>
      <c r="X33" s="2">
        <v>57.3</v>
      </c>
      <c r="Y33" s="2">
        <v>48.3</v>
      </c>
      <c r="Z33" s="2">
        <v>140.80000000000001</v>
      </c>
      <c r="AA33" s="2">
        <v>81.900000000000006</v>
      </c>
    </row>
    <row r="34" spans="1:27" x14ac:dyDescent="0.25">
      <c r="A34">
        <v>2024</v>
      </c>
      <c r="B34">
        <v>2.2000000000000002</v>
      </c>
      <c r="C34">
        <v>9.4</v>
      </c>
      <c r="D34">
        <v>11.2</v>
      </c>
      <c r="E34">
        <v>13.8</v>
      </c>
      <c r="F34">
        <v>18.100000000000001</v>
      </c>
      <c r="G34">
        <v>22.9</v>
      </c>
      <c r="H34">
        <v>25.2</v>
      </c>
      <c r="I34">
        <v>25.3</v>
      </c>
      <c r="J34">
        <v>18</v>
      </c>
      <c r="K34">
        <v>13.7</v>
      </c>
      <c r="L34">
        <v>5.4</v>
      </c>
      <c r="M34">
        <v>2.9</v>
      </c>
      <c r="O34">
        <v>2024</v>
      </c>
      <c r="P34">
        <v>50.1</v>
      </c>
      <c r="Q34">
        <v>31.7</v>
      </c>
      <c r="R34">
        <v>96.5</v>
      </c>
      <c r="S34">
        <v>32.4</v>
      </c>
      <c r="T34">
        <v>75.3</v>
      </c>
      <c r="U34">
        <v>96.7</v>
      </c>
      <c r="V34">
        <v>90.8</v>
      </c>
      <c r="W34">
        <v>37.700000000000003</v>
      </c>
      <c r="X34">
        <v>157.4</v>
      </c>
      <c r="Y34">
        <v>81.099999999999994</v>
      </c>
      <c r="Z34">
        <v>92.7</v>
      </c>
      <c r="AA34">
        <v>56.2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FB10-273D-4872-ACEB-1CB6B0D30D7F}">
  <dimension ref="A1:AA40"/>
  <sheetViews>
    <sheetView topLeftCell="A9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0.86666666666666647</v>
      </c>
      <c r="C2" s="4">
        <f t="shared" ref="C2:L2" si="0">AVERAGE(C5:C46)</f>
        <v>3.2999999999999994</v>
      </c>
      <c r="D2" s="4">
        <f t="shared" si="0"/>
        <v>7.2266666666666675</v>
      </c>
      <c r="E2" s="4">
        <f t="shared" si="0"/>
        <v>12.166666666666666</v>
      </c>
      <c r="F2" s="4">
        <f t="shared" si="0"/>
        <v>17.017333333333333</v>
      </c>
      <c r="G2" s="4">
        <f t="shared" si="0"/>
        <v>20.989999999999995</v>
      </c>
      <c r="H2" s="4">
        <f t="shared" si="0"/>
        <v>22.68</v>
      </c>
      <c r="I2" s="4">
        <f t="shared" si="0"/>
        <v>22.116666666666671</v>
      </c>
      <c r="J2" s="4">
        <f t="shared" si="0"/>
        <v>16.58666666666667</v>
      </c>
      <c r="K2" s="4">
        <f t="shared" si="0"/>
        <v>11.806666666666663</v>
      </c>
      <c r="L2" s="4">
        <f t="shared" si="0"/>
        <v>6.6866666666666665</v>
      </c>
      <c r="M2" s="4">
        <f>AVERAGE(M5:M46)</f>
        <v>1.9600000000000002</v>
      </c>
      <c r="O2" s="30"/>
      <c r="P2" s="4">
        <f>AVERAGE(P5:P46)</f>
        <v>53.38666666666667</v>
      </c>
      <c r="Q2" s="4">
        <f t="shared" ref="Q2:Z2" si="1">AVERAGE(Q5:Q46)</f>
        <v>45.696666666666665</v>
      </c>
      <c r="R2" s="4">
        <f t="shared" si="1"/>
        <v>46.33666666666668</v>
      </c>
      <c r="S2" s="4">
        <f t="shared" si="1"/>
        <v>60.660000000000011</v>
      </c>
      <c r="T2" s="4">
        <f t="shared" si="1"/>
        <v>84.00344827586207</v>
      </c>
      <c r="U2" s="4">
        <f t="shared" si="1"/>
        <v>78.243333333333339</v>
      </c>
      <c r="V2" s="4">
        <f t="shared" si="1"/>
        <v>73.996666666666655</v>
      </c>
      <c r="W2" s="4">
        <f t="shared" si="1"/>
        <v>61.793333333333329</v>
      </c>
      <c r="X2" s="4">
        <f t="shared" si="1"/>
        <v>82.966666666666654</v>
      </c>
      <c r="Y2" s="4">
        <f t="shared" si="1"/>
        <v>64.563333333333318</v>
      </c>
      <c r="Z2" s="4">
        <f t="shared" si="1"/>
        <v>70.029999999999987</v>
      </c>
      <c r="AA2" s="4">
        <f>AVERAGE(AA5:AA46)</f>
        <v>64.15333333333335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0.3</v>
      </c>
      <c r="C5" s="2">
        <v>6.5</v>
      </c>
      <c r="D5" s="2">
        <v>5.8</v>
      </c>
      <c r="E5" s="2">
        <v>12</v>
      </c>
      <c r="F5" s="2">
        <v>15.4</v>
      </c>
      <c r="G5" s="2">
        <v>18.5</v>
      </c>
      <c r="H5" s="2">
        <v>23.7</v>
      </c>
      <c r="I5" s="2">
        <v>19.7</v>
      </c>
      <c r="J5" s="2">
        <v>15.1</v>
      </c>
      <c r="K5" s="2">
        <v>12</v>
      </c>
      <c r="L5" s="2">
        <v>4.2</v>
      </c>
      <c r="M5" s="2">
        <v>1.9</v>
      </c>
      <c r="O5">
        <v>1995</v>
      </c>
      <c r="P5" s="2">
        <v>104</v>
      </c>
      <c r="Q5" s="2">
        <v>57.2</v>
      </c>
      <c r="R5" s="2">
        <v>53.9</v>
      </c>
      <c r="S5" s="2">
        <v>35.200000000000003</v>
      </c>
      <c r="T5" s="2">
        <v>76.599999999999994</v>
      </c>
      <c r="U5" s="2">
        <v>119.2</v>
      </c>
      <c r="V5" s="2">
        <v>6.4</v>
      </c>
      <c r="W5" s="2">
        <v>124.6</v>
      </c>
      <c r="X5" s="2">
        <v>96.9</v>
      </c>
      <c r="Y5" s="2">
        <v>4.0999999999999996</v>
      </c>
      <c r="Z5" s="2">
        <v>53.3</v>
      </c>
      <c r="AA5" s="2">
        <v>101.5</v>
      </c>
    </row>
    <row r="6" spans="1:27" x14ac:dyDescent="0.25">
      <c r="A6">
        <v>1996</v>
      </c>
      <c r="B6" s="2">
        <v>-0.3</v>
      </c>
      <c r="C6" s="2">
        <v>-1.1000000000000001</v>
      </c>
      <c r="D6" s="2">
        <v>3.5</v>
      </c>
      <c r="E6" s="2">
        <v>11.3</v>
      </c>
      <c r="F6" s="2">
        <v>17.5</v>
      </c>
      <c r="G6" s="2">
        <v>20.8</v>
      </c>
      <c r="H6" s="2">
        <v>20</v>
      </c>
      <c r="I6" s="2">
        <v>20.6</v>
      </c>
      <c r="J6" s="2">
        <v>13.2</v>
      </c>
      <c r="K6" s="2">
        <v>11.8</v>
      </c>
      <c r="L6" s="2">
        <v>7.6</v>
      </c>
      <c r="M6" s="2">
        <v>-0.7</v>
      </c>
      <c r="O6">
        <v>1996</v>
      </c>
      <c r="P6" s="2">
        <v>42.2</v>
      </c>
      <c r="Q6" s="2">
        <v>42.9</v>
      </c>
      <c r="R6" s="2">
        <v>47.2</v>
      </c>
      <c r="S6" s="2">
        <v>64.900000000000006</v>
      </c>
      <c r="T6" s="2">
        <v>115.2</v>
      </c>
      <c r="U6" s="2">
        <v>36.299999999999997</v>
      </c>
      <c r="V6" s="2">
        <v>47.3</v>
      </c>
      <c r="W6" s="2">
        <v>43.8</v>
      </c>
      <c r="X6" s="2">
        <v>173.8</v>
      </c>
      <c r="Y6" s="2">
        <v>55.6</v>
      </c>
      <c r="Z6" s="2">
        <v>116.6</v>
      </c>
      <c r="AA6" s="2">
        <v>75.599999999999994</v>
      </c>
    </row>
    <row r="7" spans="1:27" x14ac:dyDescent="0.25">
      <c r="A7">
        <v>1997</v>
      </c>
      <c r="B7" s="2">
        <v>-0.9</v>
      </c>
      <c r="C7" s="2">
        <v>3.8</v>
      </c>
      <c r="D7" s="2">
        <v>6.1</v>
      </c>
      <c r="E7" s="2">
        <v>7.5</v>
      </c>
      <c r="F7" s="2">
        <v>17.399999999999999</v>
      </c>
      <c r="G7" s="2">
        <v>20.8</v>
      </c>
      <c r="H7" s="2">
        <v>20.3</v>
      </c>
      <c r="I7" s="2">
        <v>20</v>
      </c>
      <c r="J7" s="2">
        <v>15.9</v>
      </c>
      <c r="K7" s="2">
        <v>8.6999999999999993</v>
      </c>
      <c r="L7" s="2">
        <v>6.2</v>
      </c>
      <c r="M7" s="2">
        <v>2.6</v>
      </c>
      <c r="O7">
        <v>1997</v>
      </c>
      <c r="P7" s="2">
        <v>66.400000000000006</v>
      </c>
      <c r="Q7" s="2">
        <v>47.7</v>
      </c>
      <c r="R7" s="2">
        <v>36.1</v>
      </c>
      <c r="S7" s="2">
        <v>66.7</v>
      </c>
      <c r="T7" s="2">
        <v>54.1</v>
      </c>
      <c r="U7" s="2">
        <v>86.5</v>
      </c>
      <c r="V7" s="2">
        <v>105.5</v>
      </c>
      <c r="W7" s="2">
        <v>68.5</v>
      </c>
      <c r="X7" s="2">
        <v>47.5</v>
      </c>
      <c r="Y7" s="2">
        <v>130.1</v>
      </c>
      <c r="Z7" s="2">
        <v>86.1</v>
      </c>
      <c r="AA7" s="2">
        <v>74.900000000000006</v>
      </c>
    </row>
    <row r="8" spans="1:27" x14ac:dyDescent="0.25">
      <c r="A8">
        <v>1998</v>
      </c>
      <c r="B8" s="2">
        <v>2.7</v>
      </c>
      <c r="C8" s="2">
        <v>4.7</v>
      </c>
      <c r="D8" s="2">
        <v>4.8</v>
      </c>
      <c r="E8" s="2">
        <v>12.7</v>
      </c>
      <c r="F8" s="2">
        <v>15.8</v>
      </c>
      <c r="G8" s="2">
        <v>21.3</v>
      </c>
      <c r="H8" s="2">
        <v>22.6</v>
      </c>
      <c r="I8" s="2">
        <v>21.8</v>
      </c>
      <c r="J8" s="2">
        <v>15.9</v>
      </c>
      <c r="K8" s="2">
        <v>12.1</v>
      </c>
      <c r="L8" s="2">
        <v>3.6</v>
      </c>
      <c r="M8" s="2">
        <v>-3.1</v>
      </c>
      <c r="O8">
        <v>1998</v>
      </c>
      <c r="P8" s="2">
        <v>62.6</v>
      </c>
      <c r="Q8" s="2">
        <v>7.2</v>
      </c>
      <c r="R8" s="2">
        <v>45.2</v>
      </c>
      <c r="S8" s="2">
        <v>56.8</v>
      </c>
      <c r="T8" s="2">
        <v>49.8</v>
      </c>
      <c r="U8" s="2">
        <v>54.4</v>
      </c>
      <c r="V8" s="2">
        <v>87.6</v>
      </c>
      <c r="W8" s="2">
        <v>83.7</v>
      </c>
      <c r="X8" s="2">
        <v>115</v>
      </c>
      <c r="Y8" s="2">
        <v>84.2</v>
      </c>
      <c r="Z8" s="2">
        <v>90</v>
      </c>
      <c r="AA8" s="2">
        <v>44</v>
      </c>
    </row>
    <row r="9" spans="1:27" x14ac:dyDescent="0.25">
      <c r="A9">
        <v>1999</v>
      </c>
      <c r="B9" s="2">
        <v>0</v>
      </c>
      <c r="C9" s="2">
        <v>1.4</v>
      </c>
      <c r="D9" s="2">
        <v>8.3000000000000007</v>
      </c>
      <c r="E9" s="2">
        <v>12.4</v>
      </c>
      <c r="F9" s="2">
        <v>17.100000000000001</v>
      </c>
      <c r="G9" s="2">
        <v>20.5</v>
      </c>
      <c r="H9" s="2">
        <v>21.5</v>
      </c>
      <c r="I9" s="2">
        <v>21.4</v>
      </c>
      <c r="J9" s="2">
        <v>18.3</v>
      </c>
      <c r="K9" s="2">
        <v>11.4</v>
      </c>
      <c r="L9" s="2">
        <v>4.0999999999999996</v>
      </c>
      <c r="M9" s="2">
        <v>0.7</v>
      </c>
      <c r="O9">
        <v>1999</v>
      </c>
      <c r="P9" s="16">
        <v>68.8</v>
      </c>
      <c r="Q9" s="16">
        <v>58.2</v>
      </c>
      <c r="R9" s="16">
        <v>45.8</v>
      </c>
      <c r="S9" s="16">
        <v>60.7</v>
      </c>
      <c r="T9" s="16">
        <v>85.4</v>
      </c>
      <c r="U9" s="16">
        <v>73</v>
      </c>
      <c r="V9" s="16">
        <v>209.9</v>
      </c>
      <c r="W9" s="16">
        <v>34.9</v>
      </c>
      <c r="X9" s="16">
        <v>73.5</v>
      </c>
      <c r="Y9" s="16">
        <v>60.1</v>
      </c>
      <c r="Z9" s="16">
        <v>123.8</v>
      </c>
      <c r="AA9" s="16">
        <v>98.1</v>
      </c>
    </row>
    <row r="10" spans="1:27" x14ac:dyDescent="0.25">
      <c r="A10">
        <v>2000</v>
      </c>
      <c r="B10" s="2">
        <v>-2.2999999999999998</v>
      </c>
      <c r="C10" s="2">
        <v>3.8</v>
      </c>
      <c r="D10" s="2">
        <v>6.8</v>
      </c>
      <c r="E10" s="2">
        <v>14.2</v>
      </c>
      <c r="F10" s="2">
        <v>17.3</v>
      </c>
      <c r="G10" s="2">
        <v>21.6</v>
      </c>
      <c r="H10" s="2">
        <v>21.2</v>
      </c>
      <c r="I10" s="2">
        <v>23</v>
      </c>
      <c r="J10" s="2">
        <v>16.100000000000001</v>
      </c>
      <c r="K10" s="2">
        <v>13.5</v>
      </c>
      <c r="L10" s="2">
        <v>10</v>
      </c>
      <c r="M10" s="2">
        <v>2.9</v>
      </c>
      <c r="O10">
        <v>2000</v>
      </c>
      <c r="P10" s="16">
        <v>19.600000000000001</v>
      </c>
      <c r="Q10" s="16">
        <v>28.6</v>
      </c>
      <c r="R10" s="16">
        <v>44.3</v>
      </c>
      <c r="S10" s="16">
        <v>52.9</v>
      </c>
      <c r="T10" s="16">
        <v>26.9</v>
      </c>
      <c r="U10" s="16">
        <v>25.3</v>
      </c>
      <c r="V10" s="16">
        <v>87.6</v>
      </c>
      <c r="W10" s="16">
        <v>10.9</v>
      </c>
      <c r="X10" s="16">
        <v>47.3</v>
      </c>
      <c r="Y10" s="16">
        <v>41.1</v>
      </c>
      <c r="Z10" s="16">
        <v>48</v>
      </c>
      <c r="AA10" s="16">
        <v>78.8</v>
      </c>
    </row>
    <row r="11" spans="1:27" x14ac:dyDescent="0.25">
      <c r="A11">
        <v>2001</v>
      </c>
      <c r="B11" s="2">
        <v>2.5</v>
      </c>
      <c r="C11" s="2">
        <v>4</v>
      </c>
      <c r="D11" s="2">
        <v>10.199999999999999</v>
      </c>
      <c r="E11" s="2">
        <v>10.9</v>
      </c>
      <c r="F11" s="2">
        <v>17.8</v>
      </c>
      <c r="G11" s="2">
        <v>17.8</v>
      </c>
      <c r="H11" s="2">
        <v>21.7</v>
      </c>
      <c r="I11" s="2">
        <v>22.2</v>
      </c>
      <c r="J11" s="2">
        <v>14.5</v>
      </c>
      <c r="K11" s="2">
        <v>13.6</v>
      </c>
      <c r="L11" s="2">
        <v>3.5</v>
      </c>
      <c r="M11" s="2">
        <v>-3</v>
      </c>
      <c r="O11">
        <v>2001</v>
      </c>
      <c r="P11" s="16">
        <v>86.9</v>
      </c>
      <c r="Q11" s="16">
        <v>19.7</v>
      </c>
      <c r="R11" s="16">
        <v>80.8</v>
      </c>
      <c r="S11" s="16">
        <v>73.5</v>
      </c>
      <c r="T11" s="16">
        <v>29.6</v>
      </c>
      <c r="U11" s="16">
        <v>191.4</v>
      </c>
      <c r="V11" s="16">
        <v>57.2</v>
      </c>
      <c r="W11" s="16">
        <v>31.6</v>
      </c>
      <c r="X11" s="16">
        <v>224</v>
      </c>
      <c r="Y11" s="16">
        <v>11</v>
      </c>
      <c r="Z11" s="16">
        <v>116.5</v>
      </c>
      <c r="AA11" s="16">
        <v>36</v>
      </c>
    </row>
    <row r="12" spans="1:27" x14ac:dyDescent="0.25">
      <c r="A12">
        <v>2002</v>
      </c>
      <c r="B12" s="6">
        <v>-0.6</v>
      </c>
      <c r="C12" s="6">
        <v>5.8</v>
      </c>
      <c r="D12" s="6">
        <v>8.8000000000000007</v>
      </c>
      <c r="E12" s="6">
        <v>11.1</v>
      </c>
      <c r="F12" s="6">
        <v>18.100000000000001</v>
      </c>
      <c r="G12" s="6">
        <v>21</v>
      </c>
      <c r="H12" s="6">
        <v>22.3</v>
      </c>
      <c r="I12" s="6">
        <v>20.7</v>
      </c>
      <c r="J12" s="6">
        <v>15</v>
      </c>
      <c r="K12" s="6">
        <v>11.3</v>
      </c>
      <c r="L12" s="6">
        <v>9.3000000000000007</v>
      </c>
      <c r="M12" s="6">
        <v>1.6</v>
      </c>
      <c r="O12">
        <v>2002</v>
      </c>
      <c r="P12" s="17">
        <v>15</v>
      </c>
      <c r="Q12" s="17">
        <v>47</v>
      </c>
      <c r="R12" s="17">
        <v>20</v>
      </c>
      <c r="S12" s="17">
        <v>107</v>
      </c>
      <c r="T12" s="17">
        <v>80</v>
      </c>
      <c r="U12" s="17">
        <v>55</v>
      </c>
      <c r="V12" s="17">
        <v>78</v>
      </c>
      <c r="W12" s="17">
        <v>122</v>
      </c>
      <c r="X12" s="17">
        <v>136</v>
      </c>
      <c r="Y12" s="17">
        <v>80</v>
      </c>
      <c r="Z12" s="17">
        <v>73</v>
      </c>
      <c r="AA12" s="17">
        <v>29</v>
      </c>
    </row>
    <row r="13" spans="1:27" x14ac:dyDescent="0.25">
      <c r="A13">
        <v>2003</v>
      </c>
      <c r="B13" s="6">
        <v>-1.3</v>
      </c>
      <c r="C13" s="6">
        <v>-1.9</v>
      </c>
      <c r="D13" s="6">
        <v>6.3</v>
      </c>
      <c r="E13" s="6">
        <v>11.1</v>
      </c>
      <c r="F13" s="6">
        <v>23.72</v>
      </c>
      <c r="G13" s="6">
        <v>23.7</v>
      </c>
      <c r="H13" s="6">
        <v>22.6</v>
      </c>
      <c r="I13" s="6">
        <v>23.8</v>
      </c>
      <c r="J13" s="6">
        <v>15.7</v>
      </c>
      <c r="K13" s="6">
        <v>9.5</v>
      </c>
      <c r="L13" s="6">
        <v>7.7</v>
      </c>
      <c r="M13" s="6">
        <v>1.3</v>
      </c>
      <c r="O13">
        <v>2003</v>
      </c>
      <c r="P13" s="17">
        <v>70.7</v>
      </c>
      <c r="Q13" s="17">
        <v>14</v>
      </c>
      <c r="R13" s="17">
        <v>6.6</v>
      </c>
      <c r="S13" s="17">
        <v>23</v>
      </c>
      <c r="T13" s="17"/>
      <c r="U13" s="17">
        <v>44</v>
      </c>
      <c r="V13" s="17">
        <v>61.2</v>
      </c>
      <c r="W13" s="17">
        <v>51.3</v>
      </c>
      <c r="X13" s="17">
        <v>47.7</v>
      </c>
      <c r="Y13" s="17">
        <v>166.9</v>
      </c>
      <c r="Z13" s="17">
        <v>56</v>
      </c>
      <c r="AA13" s="17">
        <v>26.8</v>
      </c>
    </row>
    <row r="14" spans="1:27" x14ac:dyDescent="0.25">
      <c r="A14">
        <v>2004</v>
      </c>
      <c r="B14" s="7">
        <v>-1</v>
      </c>
      <c r="C14" s="7">
        <v>2.4</v>
      </c>
      <c r="D14" s="7">
        <v>6</v>
      </c>
      <c r="E14" s="7">
        <v>12.2</v>
      </c>
      <c r="F14" s="7">
        <v>14.7</v>
      </c>
      <c r="G14" s="7">
        <v>19.5</v>
      </c>
      <c r="H14" s="7">
        <v>21.5</v>
      </c>
      <c r="I14" s="7">
        <v>20.9</v>
      </c>
      <c r="J14" s="7">
        <v>15.7</v>
      </c>
      <c r="K14" s="7">
        <v>13.5</v>
      </c>
      <c r="L14" s="7">
        <v>5.8</v>
      </c>
      <c r="M14" s="7">
        <v>2.2999999999999998</v>
      </c>
      <c r="O14">
        <v>2004</v>
      </c>
      <c r="P14" s="16">
        <v>81</v>
      </c>
      <c r="Q14" s="16">
        <v>55.7</v>
      </c>
      <c r="R14" s="16">
        <v>38.700000000000003</v>
      </c>
      <c r="S14" s="16">
        <v>169.9</v>
      </c>
      <c r="T14" s="16">
        <v>73.8</v>
      </c>
      <c r="U14" s="16">
        <v>84.1</v>
      </c>
      <c r="V14" s="16">
        <v>46.3</v>
      </c>
      <c r="W14" s="16">
        <v>34</v>
      </c>
      <c r="X14" s="16">
        <v>49</v>
      </c>
      <c r="Y14" s="16">
        <v>97.8</v>
      </c>
      <c r="Z14" s="16">
        <v>85.9</v>
      </c>
      <c r="AA14" s="16">
        <v>60.9</v>
      </c>
    </row>
    <row r="15" spans="1:27" x14ac:dyDescent="0.25">
      <c r="A15">
        <v>2005</v>
      </c>
      <c r="B15" s="7">
        <v>-0.2</v>
      </c>
      <c r="C15" s="7">
        <v>-2.4</v>
      </c>
      <c r="D15" s="7">
        <v>4.5999999999999996</v>
      </c>
      <c r="E15" s="7">
        <v>11.4</v>
      </c>
      <c r="F15" s="7">
        <v>16.8</v>
      </c>
      <c r="G15" s="7">
        <v>19.3</v>
      </c>
      <c r="H15" s="7">
        <v>21.7</v>
      </c>
      <c r="I15" s="7">
        <v>19.2</v>
      </c>
      <c r="J15" s="7">
        <v>16.899999999999999</v>
      </c>
      <c r="K15" s="7">
        <v>11.3</v>
      </c>
      <c r="L15" s="7">
        <v>5.4</v>
      </c>
      <c r="M15" s="7">
        <v>1.3</v>
      </c>
      <c r="O15">
        <v>2005</v>
      </c>
      <c r="P15" s="16">
        <v>26.4</v>
      </c>
      <c r="Q15" s="16">
        <v>51</v>
      </c>
      <c r="R15" s="16">
        <v>56.3</v>
      </c>
      <c r="S15" s="16">
        <v>82.4</v>
      </c>
      <c r="T15" s="16">
        <v>47.5</v>
      </c>
      <c r="U15" s="16">
        <v>99.6</v>
      </c>
      <c r="V15" s="16">
        <v>174.9</v>
      </c>
      <c r="W15" s="16">
        <v>232</v>
      </c>
      <c r="X15" s="16">
        <v>90</v>
      </c>
      <c r="Y15" s="16">
        <v>10.5</v>
      </c>
      <c r="Z15" s="16">
        <v>20.100000000000001</v>
      </c>
      <c r="AA15" s="16">
        <v>116.1</v>
      </c>
    </row>
    <row r="16" spans="1:27" x14ac:dyDescent="0.25">
      <c r="A16">
        <v>2006</v>
      </c>
      <c r="B16" s="7">
        <v>-1.8</v>
      </c>
      <c r="C16" s="7">
        <v>1.4</v>
      </c>
      <c r="D16" s="7">
        <v>5.9</v>
      </c>
      <c r="E16" s="7">
        <v>12.3</v>
      </c>
      <c r="F16" s="7">
        <v>15.9</v>
      </c>
      <c r="G16" s="7">
        <v>19.8</v>
      </c>
      <c r="H16" s="7">
        <v>23</v>
      </c>
      <c r="I16" s="7">
        <v>19.399999999999999</v>
      </c>
      <c r="J16" s="7">
        <v>17.3</v>
      </c>
      <c r="K16" s="7">
        <v>12.7</v>
      </c>
      <c r="L16" s="7">
        <v>7.5</v>
      </c>
      <c r="M16" s="7">
        <v>3.2</v>
      </c>
      <c r="O16">
        <v>2006</v>
      </c>
      <c r="P16" s="16">
        <v>37.1</v>
      </c>
      <c r="Q16" s="16">
        <v>31.3</v>
      </c>
      <c r="R16" s="16">
        <v>65.400000000000006</v>
      </c>
      <c r="S16" s="16">
        <v>121.4</v>
      </c>
      <c r="T16" s="16">
        <v>54.7</v>
      </c>
      <c r="U16" s="16">
        <v>73.8</v>
      </c>
      <c r="V16" s="16">
        <v>55.5</v>
      </c>
      <c r="W16" s="16">
        <v>175.5</v>
      </c>
      <c r="X16" s="16">
        <v>12.4</v>
      </c>
      <c r="Y16" s="16">
        <v>22.5</v>
      </c>
      <c r="Z16" s="16">
        <v>46</v>
      </c>
      <c r="AA16" s="16">
        <v>30.8</v>
      </c>
    </row>
    <row r="17" spans="1:27" x14ac:dyDescent="0.25">
      <c r="A17">
        <v>2007</v>
      </c>
      <c r="B17" s="7">
        <v>5.2</v>
      </c>
      <c r="C17" s="7">
        <v>6.8</v>
      </c>
      <c r="D17" s="7">
        <v>9.1999999999999993</v>
      </c>
      <c r="E17" s="7">
        <v>13.3</v>
      </c>
      <c r="F17" s="7">
        <v>18.2</v>
      </c>
      <c r="G17" s="7">
        <v>22.3</v>
      </c>
      <c r="H17" s="7">
        <v>23.2</v>
      </c>
      <c r="I17" s="7">
        <v>22.4</v>
      </c>
      <c r="J17" s="7">
        <v>14.1</v>
      </c>
      <c r="K17" s="7">
        <v>10</v>
      </c>
      <c r="L17" s="7">
        <v>3.7</v>
      </c>
      <c r="M17" s="7">
        <v>0.4</v>
      </c>
      <c r="O17">
        <v>2007</v>
      </c>
      <c r="P17" s="16">
        <v>55.4</v>
      </c>
      <c r="Q17" s="16">
        <v>40.4</v>
      </c>
      <c r="R17" s="16">
        <v>66.099999999999994</v>
      </c>
      <c r="S17" s="16">
        <v>7</v>
      </c>
      <c r="T17" s="16">
        <v>69.3</v>
      </c>
      <c r="U17" s="16">
        <v>96.8</v>
      </c>
      <c r="V17" s="16">
        <v>34.799999999999997</v>
      </c>
      <c r="W17" s="16">
        <v>49.5</v>
      </c>
      <c r="X17" s="16">
        <v>120.1</v>
      </c>
      <c r="Y17" s="16">
        <v>119.7</v>
      </c>
      <c r="Z17" s="16">
        <v>75.8</v>
      </c>
      <c r="AA17" s="16">
        <v>67.400000000000006</v>
      </c>
    </row>
    <row r="18" spans="1:27" x14ac:dyDescent="0.25">
      <c r="A18">
        <v>2008</v>
      </c>
      <c r="B18" s="7">
        <v>1.7</v>
      </c>
      <c r="C18" s="7">
        <v>5.0999999999999996</v>
      </c>
      <c r="D18" s="7">
        <v>7.7</v>
      </c>
      <c r="E18" s="7">
        <v>12.6</v>
      </c>
      <c r="F18" s="7">
        <v>17.5</v>
      </c>
      <c r="G18" s="7">
        <v>21.4</v>
      </c>
      <c r="H18" s="7">
        <v>21.8</v>
      </c>
      <c r="I18" s="7">
        <v>21.5</v>
      </c>
      <c r="J18" s="7">
        <v>15</v>
      </c>
      <c r="K18" s="7">
        <v>12.2</v>
      </c>
      <c r="L18" s="7">
        <v>7.3</v>
      </c>
      <c r="M18" s="7">
        <v>3.8</v>
      </c>
      <c r="O18">
        <v>2008</v>
      </c>
      <c r="P18" s="16">
        <v>33.6</v>
      </c>
      <c r="Q18" s="16">
        <v>7.2</v>
      </c>
      <c r="R18" s="16">
        <v>98.9</v>
      </c>
      <c r="S18" s="16">
        <v>69.7</v>
      </c>
      <c r="T18" s="16">
        <v>70.400000000000006</v>
      </c>
      <c r="U18" s="16">
        <v>88</v>
      </c>
      <c r="V18" s="16">
        <v>84.6</v>
      </c>
      <c r="W18" s="16">
        <v>34.799999999999997</v>
      </c>
      <c r="X18" s="16">
        <v>83</v>
      </c>
      <c r="Y18" s="16">
        <v>44.2</v>
      </c>
      <c r="Z18" s="16">
        <v>64.900000000000006</v>
      </c>
      <c r="AA18" s="16">
        <v>46.8</v>
      </c>
    </row>
    <row r="19" spans="1:27" x14ac:dyDescent="0.25">
      <c r="A19">
        <v>2009</v>
      </c>
      <c r="B19" s="7">
        <v>-1.6</v>
      </c>
      <c r="C19" s="7">
        <v>2.9</v>
      </c>
      <c r="D19" s="7">
        <v>7.1</v>
      </c>
      <c r="E19" s="7">
        <v>14.2</v>
      </c>
      <c r="F19" s="7">
        <v>18.100000000000001</v>
      </c>
      <c r="G19" s="7">
        <v>19.3</v>
      </c>
      <c r="H19" s="7">
        <v>22.6</v>
      </c>
      <c r="I19" s="7">
        <v>22.3</v>
      </c>
      <c r="J19" s="7">
        <v>18.8</v>
      </c>
      <c r="K19" s="7">
        <v>11</v>
      </c>
      <c r="L19" s="7">
        <v>7.8</v>
      </c>
      <c r="M19" s="7">
        <v>3.4</v>
      </c>
      <c r="O19">
        <v>2009</v>
      </c>
      <c r="P19" s="16">
        <v>62.9</v>
      </c>
      <c r="Q19" s="16">
        <v>26.2</v>
      </c>
      <c r="R19" s="16">
        <v>41.4</v>
      </c>
      <c r="S19" s="16">
        <v>13</v>
      </c>
      <c r="T19" s="16">
        <v>43.6</v>
      </c>
      <c r="U19" s="16">
        <v>103.8</v>
      </c>
      <c r="V19" s="16">
        <v>61.1</v>
      </c>
      <c r="W19" s="16">
        <v>28.7</v>
      </c>
      <c r="X19" s="16">
        <v>28.9</v>
      </c>
      <c r="Y19" s="16">
        <v>45</v>
      </c>
      <c r="Z19" s="16">
        <v>68.099999999999994</v>
      </c>
      <c r="AA19" s="16">
        <v>106.1</v>
      </c>
    </row>
    <row r="20" spans="1:27" x14ac:dyDescent="0.25">
      <c r="A20">
        <v>2010</v>
      </c>
      <c r="B20" s="7">
        <v>0</v>
      </c>
      <c r="C20" s="7">
        <v>1.8</v>
      </c>
      <c r="D20" s="7">
        <v>6.8</v>
      </c>
      <c r="E20" s="7">
        <v>12.3</v>
      </c>
      <c r="F20" s="7">
        <v>16.2</v>
      </c>
      <c r="G20" s="7">
        <v>20.2</v>
      </c>
      <c r="H20" s="7">
        <v>22.7</v>
      </c>
      <c r="I20" s="7">
        <v>21.8</v>
      </c>
      <c r="J20" s="7">
        <v>15.4</v>
      </c>
      <c r="K20" s="7">
        <v>8.9</v>
      </c>
      <c r="L20" s="7">
        <v>8.1</v>
      </c>
      <c r="M20" s="7">
        <v>0.3</v>
      </c>
      <c r="O20">
        <v>2010</v>
      </c>
      <c r="P20" s="16">
        <v>79.5</v>
      </c>
      <c r="Q20" s="16">
        <v>81.8</v>
      </c>
      <c r="R20" s="16">
        <v>49.5</v>
      </c>
      <c r="S20" s="16">
        <v>52.9</v>
      </c>
      <c r="T20" s="16">
        <v>161.4</v>
      </c>
      <c r="U20" s="16">
        <v>176.9</v>
      </c>
      <c r="V20" s="16">
        <v>42.3</v>
      </c>
      <c r="W20" s="16">
        <v>44.3</v>
      </c>
      <c r="X20" s="16">
        <v>87.7</v>
      </c>
      <c r="Y20" s="16">
        <v>58.2</v>
      </c>
      <c r="Z20" s="16">
        <v>71.5</v>
      </c>
      <c r="AA20" s="16">
        <v>68.5</v>
      </c>
    </row>
    <row r="21" spans="1:27" x14ac:dyDescent="0.25">
      <c r="A21">
        <v>2011</v>
      </c>
      <c r="B21" s="7">
        <v>0.8</v>
      </c>
      <c r="C21" s="7">
        <v>1</v>
      </c>
      <c r="D21" s="7">
        <v>6.4</v>
      </c>
      <c r="E21" s="7">
        <v>13.1</v>
      </c>
      <c r="F21" s="7">
        <v>16.3</v>
      </c>
      <c r="G21" s="7">
        <v>20.6</v>
      </c>
      <c r="H21" s="7">
        <v>22.6</v>
      </c>
      <c r="I21" s="7">
        <v>23.2</v>
      </c>
      <c r="J21" s="7">
        <v>20</v>
      </c>
      <c r="K21" s="7">
        <v>10.199999999999999</v>
      </c>
      <c r="L21" s="7">
        <v>2.5</v>
      </c>
      <c r="M21" s="7">
        <v>2.8</v>
      </c>
      <c r="O21">
        <v>2011</v>
      </c>
      <c r="P21" s="16">
        <v>27.2</v>
      </c>
      <c r="Q21" s="16">
        <v>16.600000000000001</v>
      </c>
      <c r="R21" s="16">
        <v>35.9</v>
      </c>
      <c r="S21" s="16">
        <v>17.7</v>
      </c>
      <c r="T21" s="16">
        <v>43.8</v>
      </c>
      <c r="U21" s="16">
        <v>47.4</v>
      </c>
      <c r="V21" s="16">
        <v>108.7</v>
      </c>
      <c r="W21" s="16">
        <v>18.2</v>
      </c>
      <c r="X21" s="16">
        <v>10.6</v>
      </c>
      <c r="Y21" s="16">
        <v>32.1</v>
      </c>
      <c r="Z21" s="16">
        <v>4.2</v>
      </c>
      <c r="AA21" s="16">
        <v>70.5</v>
      </c>
    </row>
    <row r="22" spans="1:27" x14ac:dyDescent="0.25">
      <c r="A22">
        <v>2012</v>
      </c>
      <c r="B22" s="7">
        <v>1.7</v>
      </c>
      <c r="C22" s="7">
        <v>-2.9</v>
      </c>
      <c r="D22" s="7">
        <v>9.1</v>
      </c>
      <c r="E22" s="7">
        <v>12.4</v>
      </c>
      <c r="F22" s="7">
        <v>16.100000000000001</v>
      </c>
      <c r="G22" s="7">
        <v>22.4</v>
      </c>
      <c r="H22" s="7">
        <v>25.3</v>
      </c>
      <c r="I22" s="7">
        <v>24.5</v>
      </c>
      <c r="J22" s="7">
        <v>18.3</v>
      </c>
      <c r="K22" s="7">
        <v>11.7</v>
      </c>
      <c r="L22" s="7">
        <v>9.3000000000000007</v>
      </c>
      <c r="M22" s="7">
        <v>0.6</v>
      </c>
      <c r="O22">
        <v>2012</v>
      </c>
      <c r="P22" s="16">
        <v>28.7</v>
      </c>
      <c r="Q22" s="16">
        <v>43</v>
      </c>
      <c r="R22" s="16">
        <v>1.3</v>
      </c>
      <c r="S22" s="16">
        <v>74.3</v>
      </c>
      <c r="T22" s="16">
        <v>98.8</v>
      </c>
      <c r="U22" s="16">
        <v>66.599999999999994</v>
      </c>
      <c r="V22" s="16">
        <v>20.9</v>
      </c>
      <c r="W22" s="16">
        <v>10.5</v>
      </c>
      <c r="X22" s="16">
        <v>48.5</v>
      </c>
      <c r="Y22" s="16">
        <v>84.3</v>
      </c>
      <c r="Z22" s="16">
        <v>50.1</v>
      </c>
      <c r="AA22" s="16">
        <v>113</v>
      </c>
    </row>
    <row r="23" spans="1:27" x14ac:dyDescent="0.25">
      <c r="A23">
        <v>2013</v>
      </c>
      <c r="B23" s="7">
        <v>2.4</v>
      </c>
      <c r="C23" s="7">
        <v>2.6</v>
      </c>
      <c r="D23" s="7">
        <v>5.8</v>
      </c>
      <c r="E23" s="7">
        <v>13.2</v>
      </c>
      <c r="F23" s="7">
        <v>16.600000000000001</v>
      </c>
      <c r="G23" s="7">
        <v>20</v>
      </c>
      <c r="H23" s="7">
        <v>22.1</v>
      </c>
      <c r="I23" s="7">
        <v>23</v>
      </c>
      <c r="J23" s="7">
        <v>15.6</v>
      </c>
      <c r="K23" s="7">
        <v>12.9</v>
      </c>
      <c r="L23" s="7">
        <v>7.5</v>
      </c>
      <c r="M23" s="7">
        <v>1.6</v>
      </c>
      <c r="O23">
        <v>2013</v>
      </c>
      <c r="P23" s="16">
        <v>53</v>
      </c>
      <c r="Q23" s="16">
        <v>87.4</v>
      </c>
      <c r="R23" s="16">
        <v>64.7</v>
      </c>
      <c r="S23" s="16">
        <v>43.3</v>
      </c>
      <c r="T23" s="16">
        <v>82.5</v>
      </c>
      <c r="U23" s="16">
        <v>68.900000000000006</v>
      </c>
      <c r="V23" s="16">
        <v>86.5</v>
      </c>
      <c r="W23" s="16">
        <v>57.5</v>
      </c>
      <c r="X23" s="16">
        <v>83.8</v>
      </c>
      <c r="Y23" s="16">
        <v>44.6</v>
      </c>
      <c r="Z23" s="16">
        <v>65.400000000000006</v>
      </c>
      <c r="AA23" s="16">
        <v>1.2</v>
      </c>
    </row>
    <row r="24" spans="1:27" x14ac:dyDescent="0.25">
      <c r="A24">
        <v>2014</v>
      </c>
      <c r="B24" s="7">
        <v>4</v>
      </c>
      <c r="C24" s="7">
        <v>5.6</v>
      </c>
      <c r="D24" s="7">
        <v>9.4</v>
      </c>
      <c r="E24" s="7">
        <v>12.8</v>
      </c>
      <c r="F24" s="7">
        <v>15.7</v>
      </c>
      <c r="G24" s="7">
        <v>20</v>
      </c>
      <c r="H24" s="7">
        <v>21.7</v>
      </c>
      <c r="I24" s="7">
        <v>20.6</v>
      </c>
      <c r="J24" s="7">
        <v>16.5</v>
      </c>
      <c r="K24" s="7">
        <v>12.8</v>
      </c>
      <c r="L24" s="7">
        <v>8</v>
      </c>
      <c r="M24" s="7">
        <v>3.6</v>
      </c>
      <c r="O24">
        <v>2014</v>
      </c>
      <c r="P24" s="16">
        <v>26.5</v>
      </c>
      <c r="Q24" s="16">
        <v>44.3</v>
      </c>
      <c r="R24" s="16">
        <v>54.5</v>
      </c>
      <c r="S24" s="16">
        <v>119</v>
      </c>
      <c r="T24" s="16">
        <v>134.1</v>
      </c>
      <c r="U24" s="16">
        <v>78.2</v>
      </c>
      <c r="V24" s="16">
        <v>76.2</v>
      </c>
      <c r="W24" s="16">
        <v>131.4</v>
      </c>
      <c r="X24" s="16">
        <v>112.6</v>
      </c>
      <c r="Y24" s="16">
        <v>97.8</v>
      </c>
      <c r="Z24" s="16">
        <v>19.600000000000001</v>
      </c>
      <c r="AA24" s="16">
        <v>69.400000000000006</v>
      </c>
    </row>
    <row r="25" spans="1:27" x14ac:dyDescent="0.25">
      <c r="A25">
        <v>2015</v>
      </c>
      <c r="B25" s="7">
        <v>2.7</v>
      </c>
      <c r="C25" s="7">
        <v>2.5</v>
      </c>
      <c r="D25" s="7">
        <v>7.5</v>
      </c>
      <c r="E25" s="7">
        <v>11.6</v>
      </c>
      <c r="F25" s="7">
        <v>17.7</v>
      </c>
      <c r="G25" s="7">
        <v>20.7</v>
      </c>
      <c r="H25" s="7">
        <v>24.9</v>
      </c>
      <c r="I25" s="7">
        <v>23.5</v>
      </c>
      <c r="J25" s="7">
        <v>17.600000000000001</v>
      </c>
      <c r="K25" s="7">
        <v>11.4</v>
      </c>
      <c r="L25" s="7">
        <v>6.7</v>
      </c>
      <c r="M25" s="7">
        <v>2.9</v>
      </c>
      <c r="O25">
        <v>2015</v>
      </c>
      <c r="P25" s="16">
        <v>75.5</v>
      </c>
      <c r="Q25" s="16">
        <v>79.5</v>
      </c>
      <c r="R25" s="16">
        <v>38.200000000000003</v>
      </c>
      <c r="S25" s="16">
        <v>28.2</v>
      </c>
      <c r="T25" s="16">
        <v>143</v>
      </c>
      <c r="U25" s="16">
        <v>26.3</v>
      </c>
      <c r="V25" s="16">
        <v>15.2</v>
      </c>
      <c r="W25" s="16">
        <v>78.5</v>
      </c>
      <c r="X25" s="16">
        <v>71.099999999999994</v>
      </c>
      <c r="Y25" s="16">
        <v>144.4</v>
      </c>
      <c r="Z25" s="16">
        <v>61.8</v>
      </c>
      <c r="AA25" s="16">
        <v>4.2</v>
      </c>
    </row>
    <row r="26" spans="1:27" x14ac:dyDescent="0.25">
      <c r="A26">
        <v>2016</v>
      </c>
      <c r="B26" s="7">
        <v>1.2</v>
      </c>
      <c r="C26" s="7">
        <v>6.6</v>
      </c>
      <c r="D26" s="7">
        <v>7.7</v>
      </c>
      <c r="E26" s="7">
        <v>12.9</v>
      </c>
      <c r="F26" s="7">
        <v>16</v>
      </c>
      <c r="G26" s="7">
        <v>21.3</v>
      </c>
      <c r="H26" s="7">
        <v>23.1</v>
      </c>
      <c r="I26" s="7">
        <v>20.399999999999999</v>
      </c>
      <c r="J26" s="7">
        <v>17.2</v>
      </c>
      <c r="K26" s="7">
        <v>10.199999999999999</v>
      </c>
      <c r="L26" s="7">
        <v>6.5</v>
      </c>
      <c r="M26" s="7">
        <v>-0.6</v>
      </c>
      <c r="O26">
        <v>2016</v>
      </c>
      <c r="P26" s="16">
        <v>69</v>
      </c>
      <c r="Q26" s="16">
        <v>77</v>
      </c>
      <c r="R26" s="16">
        <v>88.1</v>
      </c>
      <c r="S26" s="16">
        <v>60.7</v>
      </c>
      <c r="T26" s="16">
        <v>46.7</v>
      </c>
      <c r="U26" s="16">
        <v>117.1</v>
      </c>
      <c r="V26" s="16">
        <v>140.6</v>
      </c>
      <c r="W26" s="16">
        <v>27.7</v>
      </c>
      <c r="X26" s="16">
        <v>67.099999999999994</v>
      </c>
      <c r="Y26" s="16">
        <v>64.2</v>
      </c>
      <c r="Z26" s="16">
        <v>77.3</v>
      </c>
      <c r="AA26" s="16">
        <v>4.5</v>
      </c>
    </row>
    <row r="27" spans="1:27" x14ac:dyDescent="0.25">
      <c r="A27">
        <v>2017</v>
      </c>
      <c r="B27" s="7">
        <v>-4.9000000000000004</v>
      </c>
      <c r="C27" s="7">
        <v>4.2</v>
      </c>
      <c r="D27" s="7">
        <v>9.5</v>
      </c>
      <c r="E27" s="7">
        <v>11.3</v>
      </c>
      <c r="F27" s="7">
        <v>17</v>
      </c>
      <c r="G27" s="7">
        <v>22.2</v>
      </c>
      <c r="H27" s="7">
        <v>23.9</v>
      </c>
      <c r="I27" s="7">
        <v>23.9</v>
      </c>
      <c r="J27" s="7">
        <v>16</v>
      </c>
      <c r="K27" s="7">
        <v>11</v>
      </c>
      <c r="L27" s="7">
        <v>6.3</v>
      </c>
      <c r="M27" s="7">
        <v>3.3</v>
      </c>
      <c r="O27">
        <v>2017</v>
      </c>
      <c r="P27" s="16">
        <v>41.9</v>
      </c>
      <c r="Q27" s="16">
        <v>72.3</v>
      </c>
      <c r="R27" s="16">
        <v>52.4</v>
      </c>
      <c r="S27" s="16">
        <v>71.400000000000006</v>
      </c>
      <c r="T27" s="16">
        <v>174.6</v>
      </c>
      <c r="U27" s="16">
        <v>46.7</v>
      </c>
      <c r="V27" s="16">
        <v>45.8</v>
      </c>
      <c r="W27" s="16">
        <v>19.8</v>
      </c>
      <c r="X27" s="16">
        <v>114.2</v>
      </c>
      <c r="Y27" s="16">
        <v>86.7</v>
      </c>
      <c r="Z27" s="16">
        <v>48</v>
      </c>
      <c r="AA27" s="16">
        <v>74.900000000000006</v>
      </c>
    </row>
    <row r="28" spans="1:27" x14ac:dyDescent="0.25">
      <c r="A28">
        <v>2018</v>
      </c>
      <c r="B28" s="2">
        <v>4.5</v>
      </c>
      <c r="C28" s="2">
        <v>0.6</v>
      </c>
      <c r="D28" s="2">
        <v>4.8</v>
      </c>
      <c r="E28" s="2">
        <v>15.9</v>
      </c>
      <c r="F28" s="2">
        <v>19.3</v>
      </c>
      <c r="G28" s="2">
        <v>20.8</v>
      </c>
      <c r="H28" s="2">
        <v>21.9</v>
      </c>
      <c r="I28" s="2">
        <v>22.9</v>
      </c>
      <c r="J28" s="2">
        <v>16.8</v>
      </c>
      <c r="K28" s="2">
        <v>13.6</v>
      </c>
      <c r="L28" s="2">
        <v>7.4</v>
      </c>
      <c r="M28" s="2">
        <v>1.2</v>
      </c>
      <c r="O28">
        <v>2018</v>
      </c>
      <c r="P28" s="2">
        <v>60.2</v>
      </c>
      <c r="Q28" s="2">
        <v>91.8</v>
      </c>
      <c r="R28" s="2">
        <v>86.2</v>
      </c>
      <c r="S28" s="2">
        <v>17.7</v>
      </c>
      <c r="T28" s="2">
        <v>104.8</v>
      </c>
      <c r="U28" s="2">
        <v>119.8</v>
      </c>
      <c r="V28" s="2">
        <v>122.9</v>
      </c>
      <c r="W28" s="2">
        <v>25.8</v>
      </c>
      <c r="X28" s="2">
        <v>29.5</v>
      </c>
      <c r="Y28" s="2">
        <v>10.6</v>
      </c>
      <c r="Z28" s="2">
        <v>30.5</v>
      </c>
      <c r="AA28" s="2">
        <v>40</v>
      </c>
    </row>
    <row r="29" spans="1:27" x14ac:dyDescent="0.25">
      <c r="A29">
        <v>2019</v>
      </c>
      <c r="B29" s="2">
        <v>0.4</v>
      </c>
      <c r="C29" s="2">
        <v>4.2</v>
      </c>
      <c r="D29" s="2">
        <v>8.6999999999999993</v>
      </c>
      <c r="E29" s="2">
        <v>12.4</v>
      </c>
      <c r="F29" s="2">
        <v>14</v>
      </c>
      <c r="G29" s="2">
        <v>23</v>
      </c>
      <c r="H29" s="2">
        <v>22.4</v>
      </c>
      <c r="I29" s="2">
        <v>23.2</v>
      </c>
      <c r="J29" s="2">
        <v>17.2</v>
      </c>
      <c r="K29" s="2">
        <v>12.5</v>
      </c>
      <c r="L29" s="2">
        <v>10.4</v>
      </c>
      <c r="M29" s="2">
        <v>3.7</v>
      </c>
      <c r="O29">
        <v>2019</v>
      </c>
      <c r="P29" s="2">
        <v>52.6</v>
      </c>
      <c r="Q29" s="2">
        <v>32</v>
      </c>
      <c r="R29" s="2">
        <v>26.8</v>
      </c>
      <c r="S29" s="2">
        <v>86.9</v>
      </c>
      <c r="T29" s="2">
        <v>148.9</v>
      </c>
      <c r="U29" s="2">
        <v>121</v>
      </c>
      <c r="V29" s="2">
        <v>49.9</v>
      </c>
      <c r="W29" s="2">
        <v>39.700000000000003</v>
      </c>
      <c r="X29" s="2">
        <v>67.3</v>
      </c>
      <c r="Y29" s="2">
        <v>32.6</v>
      </c>
      <c r="Z29" s="2">
        <v>79.099999999999994</v>
      </c>
      <c r="AA29" s="2">
        <v>55.4</v>
      </c>
    </row>
    <row r="30" spans="1:27" x14ac:dyDescent="0.25">
      <c r="A30">
        <v>2020</v>
      </c>
      <c r="B30" s="2">
        <v>0.2</v>
      </c>
      <c r="C30" s="2">
        <v>6.3</v>
      </c>
      <c r="D30" s="2">
        <v>7.4</v>
      </c>
      <c r="E30" s="2">
        <v>12.3</v>
      </c>
      <c r="F30" s="2">
        <v>15.2</v>
      </c>
      <c r="G30" s="2">
        <v>20</v>
      </c>
      <c r="H30" s="2">
        <v>22.2</v>
      </c>
      <c r="I30" s="2">
        <v>23.1</v>
      </c>
      <c r="J30" s="2">
        <v>17.8</v>
      </c>
      <c r="K30" s="2">
        <v>12.2</v>
      </c>
      <c r="L30" s="2">
        <v>6.6</v>
      </c>
      <c r="M30" s="2">
        <v>4.4000000000000004</v>
      </c>
      <c r="O30">
        <v>2020</v>
      </c>
      <c r="P30" s="2">
        <v>19.399999999999999</v>
      </c>
      <c r="Q30" s="2">
        <v>35</v>
      </c>
      <c r="R30" s="2">
        <v>35.799999999999997</v>
      </c>
      <c r="S30" s="2">
        <v>13.9</v>
      </c>
      <c r="T30" s="2">
        <v>85.6</v>
      </c>
      <c r="U30" s="2">
        <v>46.2</v>
      </c>
      <c r="V30" s="2">
        <v>68.599999999999994</v>
      </c>
      <c r="W30" s="2">
        <v>87.2</v>
      </c>
      <c r="X30" s="2">
        <v>57.3</v>
      </c>
      <c r="Y30" s="2">
        <v>108.6</v>
      </c>
      <c r="Z30" s="2">
        <v>26.2</v>
      </c>
      <c r="AA30" s="2">
        <v>96.3</v>
      </c>
    </row>
    <row r="31" spans="1:27" x14ac:dyDescent="0.25">
      <c r="A31">
        <v>2021</v>
      </c>
      <c r="B31" s="2">
        <v>2.2000000000000002</v>
      </c>
      <c r="C31" s="2">
        <v>4.5</v>
      </c>
      <c r="D31" s="2">
        <v>6</v>
      </c>
      <c r="E31" s="2">
        <v>9.3000000000000007</v>
      </c>
      <c r="F31" s="2">
        <v>15.2</v>
      </c>
      <c r="G31" s="2">
        <v>22.4</v>
      </c>
      <c r="H31" s="2">
        <v>24.4</v>
      </c>
      <c r="I31" s="2">
        <v>22</v>
      </c>
      <c r="J31" s="2">
        <v>16.8</v>
      </c>
      <c r="K31" s="2">
        <v>9.4</v>
      </c>
      <c r="L31" s="2">
        <v>6.6</v>
      </c>
      <c r="M31" s="2">
        <v>3.5</v>
      </c>
      <c r="O31">
        <v>2021</v>
      </c>
      <c r="P31" s="2">
        <v>61.6</v>
      </c>
      <c r="Q31" s="2">
        <v>36.4</v>
      </c>
      <c r="R31" s="2">
        <v>33.4</v>
      </c>
      <c r="S31" s="2">
        <v>58.5</v>
      </c>
      <c r="T31" s="2">
        <v>66.900000000000006</v>
      </c>
      <c r="U31" s="2">
        <v>17.2</v>
      </c>
      <c r="V31" s="2">
        <v>71.599999999999994</v>
      </c>
      <c r="W31" s="2">
        <v>70.099999999999994</v>
      </c>
      <c r="X31" s="2">
        <v>20.100000000000001</v>
      </c>
      <c r="Y31" s="2">
        <v>90.7</v>
      </c>
      <c r="Z31" s="2">
        <v>106.2</v>
      </c>
      <c r="AA31" s="2">
        <v>96.9</v>
      </c>
    </row>
    <row r="32" spans="1:27" x14ac:dyDescent="0.25">
      <c r="A32">
        <v>2022</v>
      </c>
      <c r="B32" s="2">
        <v>1.4</v>
      </c>
      <c r="C32" s="2">
        <v>5.5</v>
      </c>
      <c r="D32" s="2">
        <v>5.8</v>
      </c>
      <c r="E32" s="2">
        <v>11</v>
      </c>
      <c r="F32" s="2">
        <v>18.5</v>
      </c>
      <c r="G32" s="2">
        <v>23.8</v>
      </c>
      <c r="H32" s="2">
        <v>23.6</v>
      </c>
      <c r="I32" s="2">
        <v>23.1</v>
      </c>
      <c r="J32" s="2">
        <v>16.600000000000001</v>
      </c>
      <c r="K32" s="2">
        <v>13.9</v>
      </c>
      <c r="L32" s="2">
        <v>8.1999999999999993</v>
      </c>
      <c r="M32" s="2">
        <v>5</v>
      </c>
      <c r="O32">
        <v>2022</v>
      </c>
      <c r="P32" s="2">
        <v>20.9</v>
      </c>
      <c r="Q32" s="2">
        <v>53.6</v>
      </c>
      <c r="R32" s="2">
        <v>10.9</v>
      </c>
      <c r="S32" s="2">
        <v>68</v>
      </c>
      <c r="T32" s="2">
        <v>44.5</v>
      </c>
      <c r="U32" s="2">
        <v>54.8</v>
      </c>
      <c r="V32" s="2">
        <v>18.899999999999999</v>
      </c>
      <c r="W32" s="2">
        <v>50.2</v>
      </c>
      <c r="X32" s="2">
        <v>180.4</v>
      </c>
      <c r="Y32" s="2">
        <v>12.3</v>
      </c>
      <c r="Z32" s="2">
        <v>109.6</v>
      </c>
      <c r="AA32" s="2">
        <v>97.1</v>
      </c>
    </row>
    <row r="33" spans="1:27" x14ac:dyDescent="0.25">
      <c r="A33">
        <v>2023</v>
      </c>
      <c r="B33" s="2">
        <v>4.5999999999999996</v>
      </c>
      <c r="C33" s="2">
        <v>3.8</v>
      </c>
      <c r="D33" s="2">
        <v>9.3000000000000007</v>
      </c>
      <c r="E33" s="2">
        <v>11.1</v>
      </c>
      <c r="F33" s="2">
        <v>17</v>
      </c>
      <c r="G33" s="2">
        <v>21.3</v>
      </c>
      <c r="H33" s="2">
        <v>24.1</v>
      </c>
      <c r="I33" s="2">
        <v>23.2</v>
      </c>
      <c r="J33" s="2">
        <v>20.100000000000001</v>
      </c>
      <c r="K33" s="2">
        <v>15.4</v>
      </c>
      <c r="L33" s="2">
        <v>7.8</v>
      </c>
      <c r="M33" s="2">
        <v>4.9000000000000004</v>
      </c>
      <c r="O33">
        <v>2023</v>
      </c>
      <c r="P33" s="2">
        <v>105.8</v>
      </c>
      <c r="Q33" s="2">
        <v>66.900000000000006</v>
      </c>
      <c r="R33" s="2">
        <v>42.3</v>
      </c>
      <c r="S33" s="2">
        <v>77.7</v>
      </c>
      <c r="T33" s="2">
        <v>126.2</v>
      </c>
      <c r="U33" s="2">
        <v>62.3</v>
      </c>
      <c r="V33" s="2">
        <v>84.2</v>
      </c>
      <c r="W33" s="2">
        <v>50.6</v>
      </c>
      <c r="X33" s="2">
        <v>69</v>
      </c>
      <c r="Y33" s="2">
        <v>47.4</v>
      </c>
      <c r="Z33" s="2">
        <v>145.6</v>
      </c>
      <c r="AA33" s="2">
        <v>62.2</v>
      </c>
    </row>
    <row r="34" spans="1:27" x14ac:dyDescent="0.25">
      <c r="A34">
        <v>2024</v>
      </c>
      <c r="B34">
        <v>2.4</v>
      </c>
      <c r="C34">
        <v>9.5</v>
      </c>
      <c r="D34">
        <v>11.5</v>
      </c>
      <c r="E34">
        <v>14.2</v>
      </c>
      <c r="F34">
        <v>18.399999999999999</v>
      </c>
      <c r="G34">
        <v>23.4</v>
      </c>
      <c r="H34">
        <v>25.8</v>
      </c>
      <c r="I34">
        <v>26.2</v>
      </c>
      <c r="J34">
        <v>18.2</v>
      </c>
      <c r="K34">
        <v>13.5</v>
      </c>
      <c r="L34">
        <v>5</v>
      </c>
      <c r="M34">
        <v>3</v>
      </c>
      <c r="O34">
        <v>2024</v>
      </c>
      <c r="P34">
        <v>47.2</v>
      </c>
      <c r="Q34">
        <v>19</v>
      </c>
      <c r="R34">
        <v>23.4</v>
      </c>
      <c r="S34">
        <v>25.5</v>
      </c>
      <c r="T34">
        <v>97.4</v>
      </c>
      <c r="U34">
        <v>66.7</v>
      </c>
      <c r="V34">
        <v>69.7</v>
      </c>
      <c r="W34">
        <v>16.5</v>
      </c>
      <c r="X34">
        <v>124.7</v>
      </c>
      <c r="Y34">
        <v>49.6</v>
      </c>
      <c r="Z34">
        <v>81.7</v>
      </c>
      <c r="AA34">
        <v>77.7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C816-46F2-4E99-9D38-C0D28F1E2F87}">
  <dimension ref="A1:AA40"/>
  <sheetViews>
    <sheetView topLeftCell="A9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8.336666666666666</v>
      </c>
      <c r="C2" s="4">
        <f t="shared" ref="C2:L2" si="0">AVERAGE(C5:C46)</f>
        <v>9.0566666666666666</v>
      </c>
      <c r="D2" s="4">
        <f t="shared" si="0"/>
        <v>11.349999999999998</v>
      </c>
      <c r="E2" s="4">
        <f t="shared" si="0"/>
        <v>15.003333333333334</v>
      </c>
      <c r="F2" s="4">
        <f t="shared" si="0"/>
        <v>19.846666666666671</v>
      </c>
      <c r="G2" s="4">
        <f t="shared" si="0"/>
        <v>24.586666666666666</v>
      </c>
      <c r="H2" s="4">
        <f t="shared" si="0"/>
        <v>27.216666666666672</v>
      </c>
      <c r="I2" s="4">
        <f t="shared" si="0"/>
        <v>26.850000000000005</v>
      </c>
      <c r="J2" s="4">
        <f t="shared" si="0"/>
        <v>21.756666666666668</v>
      </c>
      <c r="K2" s="4">
        <f t="shared" si="0"/>
        <v>17.676666666666669</v>
      </c>
      <c r="L2" s="4">
        <f t="shared" si="0"/>
        <v>13.309999999999999</v>
      </c>
      <c r="M2" s="4">
        <f>AVERAGE(M5:M46)</f>
        <v>9.7399999999999967</v>
      </c>
      <c r="O2" s="30"/>
      <c r="P2" s="4">
        <f>AVERAGE(P5:P46)</f>
        <v>78.276666666666685</v>
      </c>
      <c r="Q2" s="4">
        <f t="shared" ref="Q2:Z2" si="1">AVERAGE(Q5:Q46)</f>
        <v>64.646666666666661</v>
      </c>
      <c r="R2" s="4">
        <f t="shared" si="1"/>
        <v>61.599999999999987</v>
      </c>
      <c r="S2" s="4">
        <f t="shared" si="1"/>
        <v>62.226666666666667</v>
      </c>
      <c r="T2" s="4">
        <f t="shared" si="1"/>
        <v>61.740000000000009</v>
      </c>
      <c r="U2" s="4">
        <f t="shared" si="1"/>
        <v>44.813333333333347</v>
      </c>
      <c r="V2" s="4">
        <f t="shared" si="1"/>
        <v>23.256666666666664</v>
      </c>
      <c r="W2" s="4">
        <f t="shared" si="1"/>
        <v>40.783333333333339</v>
      </c>
      <c r="X2" s="4">
        <f t="shared" si="1"/>
        <v>83.52</v>
      </c>
      <c r="Y2" s="4">
        <f t="shared" si="1"/>
        <v>71.836666666666645</v>
      </c>
      <c r="Z2" s="4">
        <f t="shared" si="1"/>
        <v>123.54999999999998</v>
      </c>
      <c r="AA2" s="4">
        <f>AVERAGE(AA5:AA46)</f>
        <v>105.93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6.8</v>
      </c>
      <c r="C5" s="2">
        <v>10.7</v>
      </c>
      <c r="D5" s="2">
        <v>9.5</v>
      </c>
      <c r="E5" s="2">
        <v>12.8</v>
      </c>
      <c r="F5" s="2">
        <v>18</v>
      </c>
      <c r="G5" s="2">
        <v>22.1</v>
      </c>
      <c r="H5" s="2">
        <v>27.5</v>
      </c>
      <c r="I5" s="2">
        <v>24.2</v>
      </c>
      <c r="J5" s="2">
        <v>19.2</v>
      </c>
      <c r="K5" s="2">
        <v>18.2</v>
      </c>
      <c r="L5" s="2">
        <v>10.3</v>
      </c>
      <c r="M5" s="2">
        <v>10.1</v>
      </c>
      <c r="O5">
        <v>1995</v>
      </c>
      <c r="P5" s="2">
        <v>66.5</v>
      </c>
      <c r="Q5" s="2">
        <v>52.7</v>
      </c>
      <c r="R5" s="2">
        <v>102.6</v>
      </c>
      <c r="S5" s="2">
        <v>75.900000000000006</v>
      </c>
      <c r="T5" s="2">
        <v>61.1</v>
      </c>
      <c r="U5" s="2">
        <v>74.3</v>
      </c>
      <c r="V5" s="2">
        <v>11.9</v>
      </c>
      <c r="W5" s="2">
        <v>57.6</v>
      </c>
      <c r="X5" s="2">
        <v>158.19999999999999</v>
      </c>
      <c r="Y5" s="2">
        <v>8.6</v>
      </c>
      <c r="Z5" s="2">
        <v>34.200000000000003</v>
      </c>
      <c r="AA5" s="2">
        <v>203</v>
      </c>
    </row>
    <row r="6" spans="1:27" x14ac:dyDescent="0.25">
      <c r="A6">
        <v>1996</v>
      </c>
      <c r="B6" s="2">
        <v>8.8000000000000007</v>
      </c>
      <c r="C6" s="2">
        <v>6.6</v>
      </c>
      <c r="D6" s="2">
        <v>8.8000000000000007</v>
      </c>
      <c r="E6" s="2">
        <v>14.6</v>
      </c>
      <c r="F6" s="2">
        <v>19</v>
      </c>
      <c r="G6" s="2">
        <v>24.1</v>
      </c>
      <c r="H6" s="2">
        <v>25.1</v>
      </c>
      <c r="I6" s="2">
        <v>24.9</v>
      </c>
      <c r="J6" s="2">
        <v>17.8</v>
      </c>
      <c r="K6" s="2">
        <v>16.2</v>
      </c>
      <c r="L6" s="2">
        <v>13.1</v>
      </c>
      <c r="M6" s="2">
        <v>8.8000000000000007</v>
      </c>
      <c r="O6">
        <v>1996</v>
      </c>
      <c r="P6" s="2">
        <v>121.4</v>
      </c>
      <c r="Q6" s="2">
        <v>72.599999999999994</v>
      </c>
      <c r="R6" s="2">
        <v>49.7</v>
      </c>
      <c r="S6" s="2">
        <v>27.7</v>
      </c>
      <c r="T6" s="2">
        <v>69.3</v>
      </c>
      <c r="U6" s="2">
        <v>19.899999999999999</v>
      </c>
      <c r="V6" s="2">
        <v>3.1</v>
      </c>
      <c r="W6" s="2">
        <v>111.2</v>
      </c>
      <c r="X6" s="2">
        <v>214.9</v>
      </c>
      <c r="Y6" s="2">
        <v>69.5</v>
      </c>
      <c r="Z6" s="2">
        <v>163.69999999999999</v>
      </c>
      <c r="AA6" s="2">
        <v>96.5</v>
      </c>
    </row>
    <row r="7" spans="1:27" x14ac:dyDescent="0.25">
      <c r="A7">
        <v>1997</v>
      </c>
      <c r="B7" s="2">
        <v>9.9</v>
      </c>
      <c r="C7" s="2">
        <v>9.3000000000000007</v>
      </c>
      <c r="D7" s="2">
        <v>11.9</v>
      </c>
      <c r="E7" s="2">
        <v>10.6</v>
      </c>
      <c r="F7" s="2">
        <v>19.3</v>
      </c>
      <c r="G7" s="2">
        <v>24</v>
      </c>
      <c r="H7" s="2">
        <v>25.3</v>
      </c>
      <c r="I7" s="2">
        <v>25</v>
      </c>
      <c r="J7" s="2">
        <v>22.3</v>
      </c>
      <c r="K7" s="2">
        <v>15.3</v>
      </c>
      <c r="L7" s="2">
        <v>12.9</v>
      </c>
      <c r="M7" s="2">
        <v>9.5</v>
      </c>
      <c r="O7">
        <v>1997</v>
      </c>
      <c r="P7" s="2">
        <v>65.2</v>
      </c>
      <c r="Q7" s="2">
        <v>38.1</v>
      </c>
      <c r="R7" s="2">
        <v>2.4</v>
      </c>
      <c r="S7" s="2">
        <v>91.7</v>
      </c>
      <c r="T7" s="2">
        <v>38.5</v>
      </c>
      <c r="U7" s="2">
        <v>19.2</v>
      </c>
      <c r="V7" s="2">
        <v>11.3</v>
      </c>
      <c r="W7" s="2">
        <v>9.9</v>
      </c>
      <c r="X7" s="2">
        <v>18.899999999999999</v>
      </c>
      <c r="Y7" s="2">
        <v>53.2</v>
      </c>
      <c r="Z7" s="2">
        <v>210.5</v>
      </c>
      <c r="AA7" s="2">
        <v>143.69999999999999</v>
      </c>
    </row>
    <row r="8" spans="1:27" x14ac:dyDescent="0.25">
      <c r="A8">
        <v>1998</v>
      </c>
      <c r="B8" s="2">
        <v>9</v>
      </c>
      <c r="C8" s="2">
        <v>11.1</v>
      </c>
      <c r="D8" s="2">
        <v>9.4</v>
      </c>
      <c r="E8" s="2">
        <v>14.4</v>
      </c>
      <c r="F8" s="2">
        <v>19.2</v>
      </c>
      <c r="G8" s="2">
        <v>24.5</v>
      </c>
      <c r="H8" s="2">
        <v>27.4</v>
      </c>
      <c r="I8" s="2">
        <v>27.4</v>
      </c>
      <c r="J8" s="2">
        <v>20.5</v>
      </c>
      <c r="K8" s="2">
        <v>17.399999999999999</v>
      </c>
      <c r="L8" s="2">
        <v>10.3</v>
      </c>
      <c r="M8" s="2">
        <v>7.3</v>
      </c>
      <c r="O8">
        <v>1998</v>
      </c>
      <c r="P8" s="2">
        <v>58</v>
      </c>
      <c r="Q8" s="2">
        <v>11</v>
      </c>
      <c r="R8" s="2">
        <v>6.4</v>
      </c>
      <c r="S8" s="2">
        <v>66.2</v>
      </c>
      <c r="T8" s="2">
        <v>101.5</v>
      </c>
      <c r="U8" s="2">
        <v>16.5</v>
      </c>
      <c r="V8" s="2">
        <v>24.2</v>
      </c>
      <c r="W8" s="2">
        <v>25.6</v>
      </c>
      <c r="X8" s="2">
        <v>158.9</v>
      </c>
      <c r="Y8" s="2">
        <v>71.099999999999994</v>
      </c>
      <c r="Z8" s="2">
        <v>113.1</v>
      </c>
      <c r="AA8" s="2">
        <v>59.1</v>
      </c>
    </row>
    <row r="9" spans="1:27" x14ac:dyDescent="0.25">
      <c r="A9">
        <v>1999</v>
      </c>
      <c r="B9" s="2">
        <v>8.3000000000000007</v>
      </c>
      <c r="C9" s="2">
        <v>6.6</v>
      </c>
      <c r="D9" s="2">
        <v>11.1</v>
      </c>
      <c r="E9" s="2">
        <v>14.6</v>
      </c>
      <c r="F9" s="2">
        <v>20</v>
      </c>
      <c r="G9" s="2">
        <v>24.2</v>
      </c>
      <c r="H9" s="2">
        <v>25.9</v>
      </c>
      <c r="I9" s="2">
        <v>26.5</v>
      </c>
      <c r="J9" s="2">
        <v>22.9</v>
      </c>
      <c r="K9" s="2">
        <v>17.7</v>
      </c>
      <c r="L9" s="2">
        <v>12</v>
      </c>
      <c r="M9" s="2">
        <v>9.1999999999999993</v>
      </c>
      <c r="O9">
        <v>1999</v>
      </c>
      <c r="P9" s="2">
        <v>71.7</v>
      </c>
      <c r="Q9" s="2">
        <v>49.6</v>
      </c>
      <c r="R9" s="2">
        <v>68.599999999999994</v>
      </c>
      <c r="S9" s="2">
        <v>89.9</v>
      </c>
      <c r="T9" s="2">
        <v>141.30000000000001</v>
      </c>
      <c r="U9" s="2">
        <v>161.5</v>
      </c>
      <c r="V9" s="2">
        <v>26.2</v>
      </c>
      <c r="W9" s="2">
        <v>13.5</v>
      </c>
      <c r="X9" s="2">
        <v>55.6</v>
      </c>
      <c r="Y9" s="2">
        <v>63.4</v>
      </c>
      <c r="Z9" s="2">
        <v>80.900000000000006</v>
      </c>
      <c r="AA9" s="2">
        <v>120.6</v>
      </c>
    </row>
    <row r="10" spans="1:27" x14ac:dyDescent="0.25">
      <c r="A10">
        <v>2000</v>
      </c>
      <c r="B10" s="2">
        <v>6.1</v>
      </c>
      <c r="C10" s="2">
        <v>8.6</v>
      </c>
      <c r="D10" s="2">
        <v>10.4</v>
      </c>
      <c r="E10" s="2">
        <v>16.2</v>
      </c>
      <c r="F10" s="2">
        <v>21.7</v>
      </c>
      <c r="G10" s="2">
        <v>25.2</v>
      </c>
      <c r="H10" s="2">
        <v>25.7</v>
      </c>
      <c r="I10" s="2">
        <v>27.8</v>
      </c>
      <c r="J10" s="2">
        <v>21.5</v>
      </c>
      <c r="K10" s="2">
        <v>18.5</v>
      </c>
      <c r="L10" s="2">
        <v>15.2</v>
      </c>
      <c r="M10" s="2">
        <v>11</v>
      </c>
      <c r="O10">
        <v>2000</v>
      </c>
      <c r="P10" s="2">
        <v>32.5</v>
      </c>
      <c r="Q10" s="2">
        <v>19.899999999999999</v>
      </c>
      <c r="R10" s="2">
        <v>42.9</v>
      </c>
      <c r="S10" s="2">
        <v>44.7</v>
      </c>
      <c r="T10" s="2">
        <v>13.7</v>
      </c>
      <c r="U10" s="2">
        <v>6.6</v>
      </c>
      <c r="V10" s="2">
        <v>18.899999999999999</v>
      </c>
      <c r="W10" s="2">
        <v>0.1</v>
      </c>
      <c r="X10" s="2">
        <v>51.8</v>
      </c>
      <c r="Y10" s="2">
        <v>92.5</v>
      </c>
      <c r="Z10" s="2">
        <v>162.1</v>
      </c>
      <c r="AA10" s="2">
        <v>94.7</v>
      </c>
    </row>
    <row r="11" spans="1:27" x14ac:dyDescent="0.25">
      <c r="A11">
        <v>2001</v>
      </c>
      <c r="B11" s="2">
        <v>9.6999999999999993</v>
      </c>
      <c r="C11" s="2">
        <v>9.3000000000000007</v>
      </c>
      <c r="D11" s="2">
        <v>13.7</v>
      </c>
      <c r="E11" s="2">
        <v>13.7</v>
      </c>
      <c r="F11" s="2">
        <v>20.6</v>
      </c>
      <c r="G11" s="2">
        <v>22.7</v>
      </c>
      <c r="H11" s="2">
        <v>26.7</v>
      </c>
      <c r="I11" s="2">
        <v>27.7</v>
      </c>
      <c r="J11" s="2">
        <v>19</v>
      </c>
      <c r="K11" s="2">
        <v>19.100000000000001</v>
      </c>
      <c r="L11" s="2">
        <v>11.4</v>
      </c>
      <c r="M11" s="2">
        <v>5.8</v>
      </c>
      <c r="O11">
        <v>2001</v>
      </c>
      <c r="P11" s="2">
        <v>207.8</v>
      </c>
      <c r="Q11" s="2">
        <v>25.2</v>
      </c>
      <c r="R11" s="2">
        <v>110.7</v>
      </c>
      <c r="S11" s="2">
        <v>70.099999999999994</v>
      </c>
      <c r="T11" s="2">
        <v>18.600000000000001</v>
      </c>
      <c r="U11" s="2">
        <v>45.8</v>
      </c>
      <c r="V11" s="2">
        <v>11.5</v>
      </c>
      <c r="W11" s="2">
        <v>4.0999999999999996</v>
      </c>
      <c r="X11" s="2">
        <v>166.1</v>
      </c>
      <c r="Y11" s="2">
        <v>46.9</v>
      </c>
      <c r="Z11" s="2">
        <v>164.8</v>
      </c>
      <c r="AA11" s="2">
        <v>27.2</v>
      </c>
    </row>
    <row r="12" spans="1:27" x14ac:dyDescent="0.25">
      <c r="A12">
        <v>2002</v>
      </c>
      <c r="B12" s="6">
        <v>7</v>
      </c>
      <c r="C12" s="6">
        <v>10.6</v>
      </c>
      <c r="D12" s="6">
        <v>13.1</v>
      </c>
      <c r="E12" s="6">
        <v>15</v>
      </c>
      <c r="F12" s="6">
        <v>20</v>
      </c>
      <c r="G12" s="6">
        <v>25.2</v>
      </c>
      <c r="H12" s="6">
        <v>26.6</v>
      </c>
      <c r="I12" s="6">
        <v>24.5</v>
      </c>
      <c r="J12" s="6">
        <v>20.2</v>
      </c>
      <c r="K12" s="6">
        <v>17.100000000000001</v>
      </c>
      <c r="L12" s="6">
        <v>14.6</v>
      </c>
      <c r="M12" s="6">
        <v>9.8000000000000007</v>
      </c>
      <c r="O12">
        <v>2002</v>
      </c>
      <c r="P12" s="2">
        <v>63</v>
      </c>
      <c r="Q12" s="2">
        <v>67</v>
      </c>
      <c r="R12" s="2">
        <v>12</v>
      </c>
      <c r="S12" s="2">
        <v>61</v>
      </c>
      <c r="T12" s="2">
        <v>83</v>
      </c>
      <c r="U12" s="2">
        <v>24</v>
      </c>
      <c r="V12" s="2">
        <v>16</v>
      </c>
      <c r="W12" s="2">
        <v>172</v>
      </c>
      <c r="X12" s="2">
        <v>189</v>
      </c>
      <c r="Y12" s="2">
        <v>72</v>
      </c>
      <c r="Z12" s="2">
        <v>64</v>
      </c>
      <c r="AA12" s="2">
        <v>99</v>
      </c>
    </row>
    <row r="13" spans="1:27" x14ac:dyDescent="0.25">
      <c r="A13">
        <v>2003</v>
      </c>
      <c r="B13" s="6">
        <v>8.6</v>
      </c>
      <c r="C13" s="6">
        <v>5</v>
      </c>
      <c r="D13" s="6">
        <v>10.9</v>
      </c>
      <c r="E13" s="6">
        <v>14</v>
      </c>
      <c r="F13" s="6">
        <v>22.7</v>
      </c>
      <c r="G13" s="6">
        <v>28</v>
      </c>
      <c r="H13" s="6">
        <v>27.9</v>
      </c>
      <c r="I13" s="6">
        <v>29.2</v>
      </c>
      <c r="J13" s="6">
        <v>21.1</v>
      </c>
      <c r="K13" s="6">
        <v>15.9</v>
      </c>
      <c r="L13" s="6">
        <v>14.3</v>
      </c>
      <c r="M13" s="6">
        <v>9.9</v>
      </c>
      <c r="O13">
        <v>2003</v>
      </c>
      <c r="P13" s="2">
        <v>117.1</v>
      </c>
      <c r="Q13" s="2">
        <v>22.6</v>
      </c>
      <c r="R13" s="2">
        <v>3.7</v>
      </c>
      <c r="S13" s="2">
        <v>20.9</v>
      </c>
      <c r="T13" s="2">
        <v>7.6</v>
      </c>
      <c r="U13" s="2">
        <v>7.9</v>
      </c>
      <c r="V13" s="2">
        <v>33.700000000000003</v>
      </c>
      <c r="W13" s="2">
        <v>6.7</v>
      </c>
      <c r="X13" s="2">
        <v>64.599999999999994</v>
      </c>
      <c r="Y13" s="2">
        <v>93.3</v>
      </c>
      <c r="Z13" s="2">
        <v>92.3</v>
      </c>
      <c r="AA13" s="2">
        <v>51.2</v>
      </c>
    </row>
    <row r="14" spans="1:27" x14ac:dyDescent="0.25">
      <c r="A14">
        <v>2004</v>
      </c>
      <c r="B14" s="7">
        <v>6.4</v>
      </c>
      <c r="C14" s="7">
        <v>8.5</v>
      </c>
      <c r="D14" s="7">
        <v>10.3</v>
      </c>
      <c r="E14" s="7">
        <v>14.7</v>
      </c>
      <c r="F14" s="7">
        <v>17.399999999999999</v>
      </c>
      <c r="G14" s="7">
        <v>23.2</v>
      </c>
      <c r="H14" s="7">
        <v>26.9</v>
      </c>
      <c r="I14" s="7">
        <v>25.7</v>
      </c>
      <c r="J14" s="7">
        <v>22.1</v>
      </c>
      <c r="K14" s="7">
        <v>19.2</v>
      </c>
      <c r="L14" s="7">
        <v>12.7</v>
      </c>
      <c r="M14" s="7">
        <v>10.9</v>
      </c>
      <c r="O14">
        <v>2004</v>
      </c>
      <c r="P14" s="2">
        <v>83.6</v>
      </c>
      <c r="Q14" s="2">
        <v>84.1</v>
      </c>
      <c r="R14" s="2">
        <v>96.9</v>
      </c>
      <c r="S14" s="2">
        <v>123.8</v>
      </c>
      <c r="T14" s="2">
        <v>87.6</v>
      </c>
      <c r="U14" s="2">
        <v>54.7</v>
      </c>
      <c r="V14" s="2">
        <v>0.5</v>
      </c>
      <c r="W14" s="2">
        <v>16.899999999999999</v>
      </c>
      <c r="X14" s="2">
        <v>10.6</v>
      </c>
      <c r="Y14" s="2">
        <v>39.200000000000003</v>
      </c>
      <c r="Z14" s="2">
        <v>157.4</v>
      </c>
      <c r="AA14" s="2">
        <v>235.5</v>
      </c>
    </row>
    <row r="15" spans="1:27" x14ac:dyDescent="0.25">
      <c r="A15">
        <v>2005</v>
      </c>
      <c r="B15" s="7">
        <v>7.1</v>
      </c>
      <c r="C15" s="7">
        <v>5.6</v>
      </c>
      <c r="D15" s="7">
        <v>10.1</v>
      </c>
      <c r="E15" s="7">
        <v>14.3</v>
      </c>
      <c r="F15" s="7">
        <v>20.5</v>
      </c>
      <c r="G15" s="7">
        <v>23.8</v>
      </c>
      <c r="H15" s="7">
        <v>26.6</v>
      </c>
      <c r="I15" s="7">
        <v>23.9</v>
      </c>
      <c r="J15" s="7">
        <v>22</v>
      </c>
      <c r="K15" s="7">
        <v>16.7</v>
      </c>
      <c r="L15" s="7">
        <v>11.9</v>
      </c>
      <c r="M15" s="7">
        <v>8.4</v>
      </c>
      <c r="O15">
        <v>2005</v>
      </c>
      <c r="P15" s="2">
        <v>14</v>
      </c>
      <c r="Q15" s="2">
        <v>84.4</v>
      </c>
      <c r="R15" s="2">
        <v>49.8</v>
      </c>
      <c r="S15" s="2">
        <v>81.5</v>
      </c>
      <c r="T15" s="2">
        <v>28.2</v>
      </c>
      <c r="U15" s="2">
        <v>16.899999999999999</v>
      </c>
      <c r="V15" s="2">
        <v>19.7</v>
      </c>
      <c r="W15" s="2">
        <v>78</v>
      </c>
      <c r="X15" s="2">
        <v>102.6</v>
      </c>
      <c r="Y15" s="2">
        <v>198.4</v>
      </c>
      <c r="Z15" s="2">
        <v>162.80000000000001</v>
      </c>
      <c r="AA15" s="2">
        <v>167</v>
      </c>
    </row>
    <row r="16" spans="1:27" x14ac:dyDescent="0.25">
      <c r="A16">
        <v>2006</v>
      </c>
      <c r="B16" s="7">
        <v>6.9</v>
      </c>
      <c r="C16" s="7">
        <v>7.8</v>
      </c>
      <c r="D16" s="7">
        <v>9.4</v>
      </c>
      <c r="E16" s="7">
        <v>15.3</v>
      </c>
      <c r="F16" s="7">
        <v>19.7</v>
      </c>
      <c r="G16" s="7">
        <v>23.5</v>
      </c>
      <c r="H16" s="7">
        <v>27.6</v>
      </c>
      <c r="I16" s="7">
        <v>24.1</v>
      </c>
      <c r="J16" s="7">
        <v>22.3</v>
      </c>
      <c r="K16" s="7">
        <v>18.8</v>
      </c>
      <c r="L16" s="7">
        <v>12.5</v>
      </c>
      <c r="M16" s="7">
        <v>10.5</v>
      </c>
      <c r="O16">
        <v>2006</v>
      </c>
      <c r="P16" s="2">
        <v>57.8</v>
      </c>
      <c r="Q16" s="2">
        <v>75.900000000000006</v>
      </c>
      <c r="R16" s="2">
        <v>56.8</v>
      </c>
      <c r="S16" s="2">
        <v>58.6</v>
      </c>
      <c r="T16" s="2">
        <v>52</v>
      </c>
      <c r="U16" s="2">
        <v>44.6</v>
      </c>
      <c r="V16" s="2">
        <v>8.1</v>
      </c>
      <c r="W16" s="2">
        <v>127.7</v>
      </c>
      <c r="X16" s="2">
        <v>116.7</v>
      </c>
      <c r="Y16" s="2">
        <v>4.0999999999999996</v>
      </c>
      <c r="Z16" s="2">
        <v>47.6</v>
      </c>
      <c r="AA16" s="2">
        <v>6.6</v>
      </c>
    </row>
    <row r="17" spans="1:27" x14ac:dyDescent="0.25">
      <c r="A17">
        <v>2007</v>
      </c>
      <c r="B17" s="7">
        <v>10.5</v>
      </c>
      <c r="C17" s="7">
        <v>11</v>
      </c>
      <c r="D17" s="7">
        <v>12.5</v>
      </c>
      <c r="E17" s="7">
        <v>17.399999999999999</v>
      </c>
      <c r="F17" s="7">
        <v>20.9</v>
      </c>
      <c r="G17" s="7">
        <v>25.5</v>
      </c>
      <c r="H17" s="7">
        <v>27.9</v>
      </c>
      <c r="I17" s="7">
        <v>26.5</v>
      </c>
      <c r="J17" s="7">
        <v>19.7</v>
      </c>
      <c r="K17" s="7">
        <v>16.3</v>
      </c>
      <c r="L17" s="7">
        <v>10.7</v>
      </c>
      <c r="M17" s="7">
        <v>8</v>
      </c>
      <c r="O17">
        <v>2007</v>
      </c>
      <c r="P17" s="2">
        <v>59.7</v>
      </c>
      <c r="Q17" s="2">
        <v>114.8</v>
      </c>
      <c r="R17" s="2">
        <v>164.1</v>
      </c>
      <c r="S17" s="2">
        <v>21.7</v>
      </c>
      <c r="T17" s="2">
        <v>63.7</v>
      </c>
      <c r="U17" s="2">
        <v>17.899999999999999</v>
      </c>
      <c r="V17" s="2">
        <v>31</v>
      </c>
      <c r="W17" s="2">
        <v>28.1</v>
      </c>
      <c r="X17" s="2">
        <v>38.6</v>
      </c>
      <c r="Y17" s="2">
        <v>64.900000000000006</v>
      </c>
      <c r="Z17" s="2">
        <v>83.4</v>
      </c>
      <c r="AA17" s="2">
        <v>64</v>
      </c>
    </row>
    <row r="18" spans="1:27" x14ac:dyDescent="0.25">
      <c r="A18">
        <v>2008</v>
      </c>
      <c r="B18" s="7">
        <v>9.5</v>
      </c>
      <c r="C18" s="7">
        <v>9.3000000000000007</v>
      </c>
      <c r="D18" s="7">
        <v>11.4</v>
      </c>
      <c r="E18" s="7">
        <v>14.7</v>
      </c>
      <c r="F18" s="7">
        <v>20.6</v>
      </c>
      <c r="G18" s="7">
        <v>24.5</v>
      </c>
      <c r="H18" s="7">
        <v>27</v>
      </c>
      <c r="I18" s="7">
        <v>27.4</v>
      </c>
      <c r="J18" s="7">
        <v>20.6</v>
      </c>
      <c r="K18" s="7">
        <v>18.100000000000001</v>
      </c>
      <c r="L18" s="7">
        <v>13.3</v>
      </c>
      <c r="M18" s="7">
        <v>9.9</v>
      </c>
      <c r="O18">
        <v>2008</v>
      </c>
      <c r="P18" s="2">
        <v>54.3</v>
      </c>
      <c r="Q18" s="2">
        <v>38</v>
      </c>
      <c r="R18" s="2">
        <v>81</v>
      </c>
      <c r="S18" s="2">
        <v>81.3</v>
      </c>
      <c r="T18" s="2">
        <v>35.799999999999997</v>
      </c>
      <c r="U18" s="2">
        <v>95.6</v>
      </c>
      <c r="V18" s="2">
        <v>19.5</v>
      </c>
      <c r="W18" s="2">
        <v>0</v>
      </c>
      <c r="X18" s="2">
        <v>31</v>
      </c>
      <c r="Y18" s="2">
        <v>19.3</v>
      </c>
      <c r="Z18" s="2">
        <v>160.30000000000001</v>
      </c>
      <c r="AA18" s="2">
        <v>133.69999999999999</v>
      </c>
    </row>
    <row r="19" spans="1:27" x14ac:dyDescent="0.25">
      <c r="A19">
        <v>2009</v>
      </c>
      <c r="B19" s="7">
        <v>8.6999999999999993</v>
      </c>
      <c r="C19" s="7">
        <v>7.4</v>
      </c>
      <c r="D19" s="7">
        <v>10.6</v>
      </c>
      <c r="E19" s="7">
        <v>16</v>
      </c>
      <c r="F19" s="7">
        <v>21.8</v>
      </c>
      <c r="G19" s="7">
        <v>22.6</v>
      </c>
      <c r="H19" s="7">
        <v>26.9</v>
      </c>
      <c r="I19" s="7">
        <v>27.4</v>
      </c>
      <c r="J19" s="7">
        <v>23.1</v>
      </c>
      <c r="K19" s="7">
        <v>16.2</v>
      </c>
      <c r="L19" s="7">
        <v>13.1</v>
      </c>
      <c r="M19" s="7">
        <v>9.5</v>
      </c>
      <c r="O19">
        <v>2009</v>
      </c>
      <c r="P19" s="2">
        <v>169.5</v>
      </c>
      <c r="Q19" s="2">
        <v>63</v>
      </c>
      <c r="R19" s="2">
        <v>56</v>
      </c>
      <c r="S19" s="2">
        <v>76.2</v>
      </c>
      <c r="T19" s="2">
        <v>33.700000000000003</v>
      </c>
      <c r="U19" s="2">
        <v>172.6</v>
      </c>
      <c r="V19" s="2">
        <v>41.8</v>
      </c>
      <c r="W19" s="2">
        <v>33.799999999999997</v>
      </c>
      <c r="X19" s="2">
        <v>25.8</v>
      </c>
      <c r="Y19" s="2">
        <v>95.3</v>
      </c>
      <c r="Z19" s="2">
        <v>116.7</v>
      </c>
      <c r="AA19" s="2">
        <v>108.2</v>
      </c>
    </row>
    <row r="20" spans="1:27" x14ac:dyDescent="0.25">
      <c r="A20">
        <v>2010</v>
      </c>
      <c r="B20" s="7">
        <v>7</v>
      </c>
      <c r="C20" s="7">
        <v>8.6999999999999993</v>
      </c>
      <c r="D20" s="7">
        <v>10.7</v>
      </c>
      <c r="E20" s="7">
        <v>15.4</v>
      </c>
      <c r="F20" s="7">
        <v>18.600000000000001</v>
      </c>
      <c r="G20" s="7">
        <v>23.6</v>
      </c>
      <c r="H20" s="7">
        <v>27.2</v>
      </c>
      <c r="I20" s="7">
        <v>26.4</v>
      </c>
      <c r="J20" s="7">
        <v>21.1</v>
      </c>
      <c r="K20" s="7">
        <v>16</v>
      </c>
      <c r="L20" s="7">
        <v>14</v>
      </c>
      <c r="M20" s="7">
        <v>8.1999999999999993</v>
      </c>
      <c r="O20">
        <v>2010</v>
      </c>
      <c r="P20" s="2">
        <v>140.4</v>
      </c>
      <c r="Q20" s="2">
        <v>163.5</v>
      </c>
      <c r="R20" s="2">
        <v>69.099999999999994</v>
      </c>
      <c r="S20" s="2">
        <v>88.3</v>
      </c>
      <c r="T20" s="2">
        <v>98.1</v>
      </c>
      <c r="U20" s="2">
        <v>64.3</v>
      </c>
      <c r="V20" s="2">
        <v>23.4</v>
      </c>
      <c r="W20" s="2">
        <v>9.9</v>
      </c>
      <c r="X20" s="2">
        <v>79.3</v>
      </c>
      <c r="Y20" s="2">
        <v>57.6</v>
      </c>
      <c r="Z20" s="2">
        <v>198</v>
      </c>
      <c r="AA20" s="2">
        <v>134.4</v>
      </c>
    </row>
    <row r="21" spans="1:27" x14ac:dyDescent="0.25">
      <c r="A21">
        <v>2011</v>
      </c>
      <c r="B21" s="7">
        <v>8.1</v>
      </c>
      <c r="C21" s="7">
        <v>9.4</v>
      </c>
      <c r="D21" s="7">
        <v>11.2</v>
      </c>
      <c r="E21" s="7">
        <v>17</v>
      </c>
      <c r="F21" s="7">
        <v>20.3</v>
      </c>
      <c r="G21" s="7">
        <v>25.1</v>
      </c>
      <c r="H21" s="7">
        <v>26.1</v>
      </c>
      <c r="I21" s="7">
        <v>27.7</v>
      </c>
      <c r="J21" s="7">
        <v>25.4</v>
      </c>
      <c r="K21" s="7">
        <v>17.100000000000001</v>
      </c>
      <c r="L21" s="7">
        <v>13.4</v>
      </c>
      <c r="M21" s="7">
        <v>10.6</v>
      </c>
      <c r="O21">
        <v>2011</v>
      </c>
      <c r="P21" s="2">
        <v>22.3</v>
      </c>
      <c r="Q21" s="2">
        <v>19.399999999999999</v>
      </c>
      <c r="R21" s="2">
        <v>45.8</v>
      </c>
      <c r="S21" s="2">
        <v>7.1</v>
      </c>
      <c r="T21" s="2">
        <v>67.8</v>
      </c>
      <c r="U21" s="2">
        <v>20</v>
      </c>
      <c r="V21" s="2">
        <v>133.19999999999999</v>
      </c>
      <c r="W21" s="2">
        <v>1</v>
      </c>
      <c r="X21" s="2">
        <v>18.2</v>
      </c>
      <c r="Y21" s="2">
        <v>93.5</v>
      </c>
      <c r="Z21" s="2">
        <v>106.9</v>
      </c>
      <c r="AA21" s="2">
        <v>48.7</v>
      </c>
    </row>
    <row r="22" spans="1:27" x14ac:dyDescent="0.25">
      <c r="A22">
        <v>2012</v>
      </c>
      <c r="B22" s="7">
        <v>7.5</v>
      </c>
      <c r="C22" s="7">
        <v>5</v>
      </c>
      <c r="D22" s="7">
        <v>13.7</v>
      </c>
      <c r="E22" s="7">
        <v>14.4</v>
      </c>
      <c r="F22" s="7">
        <v>19.2</v>
      </c>
      <c r="G22" s="7">
        <v>26.2</v>
      </c>
      <c r="H22" s="7">
        <v>29.1</v>
      </c>
      <c r="I22" s="7">
        <v>28.6</v>
      </c>
      <c r="J22" s="7">
        <v>22.8</v>
      </c>
      <c r="K22" s="7">
        <v>18.3</v>
      </c>
      <c r="L22" s="7">
        <v>15.8</v>
      </c>
      <c r="M22" s="7">
        <v>8.6</v>
      </c>
      <c r="O22">
        <v>2012</v>
      </c>
      <c r="P22" s="2">
        <v>26.8</v>
      </c>
      <c r="Q22" s="2">
        <v>36.299999999999997</v>
      </c>
      <c r="R22" s="2">
        <v>1.4</v>
      </c>
      <c r="S22" s="2">
        <v>92.9</v>
      </c>
      <c r="T22" s="2">
        <v>57.7</v>
      </c>
      <c r="U22" s="2">
        <v>25.6</v>
      </c>
      <c r="V22" s="2">
        <v>5.7</v>
      </c>
      <c r="W22" s="2">
        <v>0</v>
      </c>
      <c r="X22" s="2">
        <v>108.8</v>
      </c>
      <c r="Y22" s="2">
        <v>143.6</v>
      </c>
      <c r="Z22" s="2">
        <v>42.5</v>
      </c>
      <c r="AA22" s="2">
        <v>196.7</v>
      </c>
    </row>
    <row r="23" spans="1:27" x14ac:dyDescent="0.25">
      <c r="A23">
        <v>2013</v>
      </c>
      <c r="B23" s="7">
        <v>9.1</v>
      </c>
      <c r="C23" s="7">
        <v>8.3000000000000007</v>
      </c>
      <c r="D23" s="7">
        <v>10.6</v>
      </c>
      <c r="E23" s="7">
        <v>16.600000000000001</v>
      </c>
      <c r="F23" s="7">
        <v>18.899999999999999</v>
      </c>
      <c r="G23" s="7">
        <v>23.4</v>
      </c>
      <c r="H23" s="7">
        <v>27.5</v>
      </c>
      <c r="I23" s="7">
        <v>27.6</v>
      </c>
      <c r="J23" s="7">
        <v>21.8</v>
      </c>
      <c r="K23" s="7">
        <v>18.100000000000001</v>
      </c>
      <c r="L23" s="7">
        <v>14.1</v>
      </c>
      <c r="M23" s="7">
        <v>11.1</v>
      </c>
      <c r="O23">
        <v>2013</v>
      </c>
      <c r="P23" s="2">
        <v>91.1</v>
      </c>
      <c r="Q23" s="2">
        <v>97.8</v>
      </c>
      <c r="R23" s="2">
        <v>175.2</v>
      </c>
      <c r="S23" s="2">
        <v>63.8</v>
      </c>
      <c r="T23" s="2">
        <v>73.8</v>
      </c>
      <c r="U23" s="2">
        <v>53.5</v>
      </c>
      <c r="V23" s="2">
        <v>0.3</v>
      </c>
      <c r="W23" s="2">
        <v>6.2</v>
      </c>
      <c r="X23" s="2">
        <v>70.3</v>
      </c>
      <c r="Y23" s="2">
        <v>136.30000000000001</v>
      </c>
      <c r="Z23" s="2">
        <v>138</v>
      </c>
      <c r="AA23" s="2">
        <v>61.7</v>
      </c>
    </row>
    <row r="24" spans="1:27" x14ac:dyDescent="0.25">
      <c r="A24">
        <v>2014</v>
      </c>
      <c r="B24" s="7">
        <v>11.2</v>
      </c>
      <c r="C24" s="7">
        <v>12</v>
      </c>
      <c r="D24" s="7">
        <v>13</v>
      </c>
      <c r="E24" s="7">
        <v>15.6</v>
      </c>
      <c r="F24" s="7">
        <v>18.3</v>
      </c>
      <c r="G24" s="7">
        <v>23.9</v>
      </c>
      <c r="H24" s="7">
        <v>24.6</v>
      </c>
      <c r="I24" s="7">
        <v>25.5</v>
      </c>
      <c r="J24" s="7">
        <v>20.7</v>
      </c>
      <c r="K24" s="7">
        <v>18.100000000000001</v>
      </c>
      <c r="L24" s="7">
        <v>15.4</v>
      </c>
      <c r="M24" s="7">
        <v>10.199999999999999</v>
      </c>
      <c r="O24">
        <v>2014</v>
      </c>
      <c r="P24" s="2">
        <v>107.4</v>
      </c>
      <c r="Q24" s="2">
        <v>150.6</v>
      </c>
      <c r="R24" s="2">
        <v>50.1</v>
      </c>
      <c r="S24" s="2">
        <v>120.6</v>
      </c>
      <c r="T24" s="2">
        <v>45</v>
      </c>
      <c r="U24" s="2">
        <v>127</v>
      </c>
      <c r="V24" s="2">
        <v>110.2</v>
      </c>
      <c r="W24" s="2">
        <v>44.1</v>
      </c>
      <c r="X24" s="2">
        <v>180.7</v>
      </c>
      <c r="Y24" s="2">
        <v>11.3</v>
      </c>
      <c r="Z24" s="2">
        <v>129.5</v>
      </c>
      <c r="AA24" s="2">
        <v>132.4</v>
      </c>
    </row>
    <row r="25" spans="1:27" x14ac:dyDescent="0.25">
      <c r="A25">
        <v>2015</v>
      </c>
      <c r="B25" s="7">
        <v>8.6</v>
      </c>
      <c r="C25" s="7">
        <v>8.8000000000000007</v>
      </c>
      <c r="D25" s="7">
        <v>11.3</v>
      </c>
      <c r="E25" s="7">
        <v>14.3</v>
      </c>
      <c r="F25" s="7">
        <v>20.399999999999999</v>
      </c>
      <c r="G25" s="7">
        <v>24.4</v>
      </c>
      <c r="H25" s="7">
        <v>29.5</v>
      </c>
      <c r="I25" s="7">
        <v>27.6</v>
      </c>
      <c r="J25" s="7">
        <v>22.6</v>
      </c>
      <c r="K25" s="7">
        <v>17.399999999999999</v>
      </c>
      <c r="L25" s="7">
        <v>13.7</v>
      </c>
      <c r="M25" s="7">
        <v>11.2</v>
      </c>
      <c r="O25">
        <v>2015</v>
      </c>
      <c r="P25" s="2">
        <v>60</v>
      </c>
      <c r="Q25" s="2">
        <v>125.2</v>
      </c>
      <c r="R25" s="2">
        <v>38.1</v>
      </c>
      <c r="S25" s="2">
        <v>62.1</v>
      </c>
      <c r="T25" s="2">
        <v>85.7</v>
      </c>
      <c r="U25" s="2">
        <v>49</v>
      </c>
      <c r="V25" s="2">
        <v>14.4</v>
      </c>
      <c r="W25" s="2">
        <v>52.2</v>
      </c>
      <c r="X25" s="2">
        <v>62.7</v>
      </c>
      <c r="Y25" s="2">
        <v>207.7</v>
      </c>
      <c r="Z25" s="2">
        <v>41.8</v>
      </c>
      <c r="AA25" s="2">
        <v>0</v>
      </c>
    </row>
    <row r="26" spans="1:27" x14ac:dyDescent="0.25">
      <c r="A26">
        <v>2016</v>
      </c>
      <c r="B26" s="7">
        <v>8.8000000000000007</v>
      </c>
      <c r="C26" s="7">
        <v>11.5</v>
      </c>
      <c r="D26" s="7">
        <v>11.6</v>
      </c>
      <c r="E26" s="7">
        <v>16.5</v>
      </c>
      <c r="F26" s="7">
        <v>18.7</v>
      </c>
      <c r="G26" s="7">
        <v>24.2</v>
      </c>
      <c r="H26" s="7">
        <v>27.7</v>
      </c>
      <c r="I26" s="7">
        <v>25.7</v>
      </c>
      <c r="J26" s="7">
        <v>22.2</v>
      </c>
      <c r="K26" s="7">
        <v>16.3</v>
      </c>
      <c r="L26" s="7">
        <v>12.8</v>
      </c>
      <c r="M26" s="7">
        <v>9.6999999999999993</v>
      </c>
      <c r="O26">
        <v>2016</v>
      </c>
      <c r="P26" s="2">
        <v>103.8</v>
      </c>
      <c r="Q26" s="2">
        <v>112.7</v>
      </c>
      <c r="R26" s="2">
        <v>60</v>
      </c>
      <c r="S26" s="2">
        <v>23.2</v>
      </c>
      <c r="T26" s="2">
        <v>71.099999999999994</v>
      </c>
      <c r="U26" s="2">
        <v>32.5</v>
      </c>
      <c r="V26" s="2">
        <v>5</v>
      </c>
      <c r="W26" s="2">
        <v>16.8</v>
      </c>
      <c r="X26" s="2">
        <v>56.1</v>
      </c>
      <c r="Y26" s="2">
        <v>109.7</v>
      </c>
      <c r="Z26" s="2">
        <v>128</v>
      </c>
      <c r="AA26" s="2">
        <v>0.1</v>
      </c>
    </row>
    <row r="27" spans="1:27" x14ac:dyDescent="0.25">
      <c r="A27">
        <v>2017</v>
      </c>
      <c r="B27" s="2">
        <v>4.5999999999999996</v>
      </c>
      <c r="C27" s="2">
        <v>10.5</v>
      </c>
      <c r="D27" s="2">
        <v>13.4</v>
      </c>
      <c r="E27" s="2">
        <v>14.4</v>
      </c>
      <c r="F27" s="2">
        <v>20.100000000000001</v>
      </c>
      <c r="G27" s="2">
        <v>25.8</v>
      </c>
      <c r="H27" s="2">
        <v>27.5</v>
      </c>
      <c r="I27" s="2">
        <v>28.8</v>
      </c>
      <c r="J27" s="2">
        <v>20.6</v>
      </c>
      <c r="K27" s="2">
        <v>17.100000000000001</v>
      </c>
      <c r="L27" s="2">
        <v>12.2</v>
      </c>
      <c r="M27" s="2">
        <v>9</v>
      </c>
      <c r="O27">
        <v>2017</v>
      </c>
      <c r="P27" s="2">
        <v>50</v>
      </c>
      <c r="Q27" s="2">
        <v>68.900000000000006</v>
      </c>
      <c r="R27" s="2">
        <v>67.599999999999994</v>
      </c>
      <c r="S27" s="2">
        <v>35.5</v>
      </c>
      <c r="T27" s="2">
        <v>40.9</v>
      </c>
      <c r="U27" s="2">
        <v>4.4000000000000004</v>
      </c>
      <c r="V27" s="2">
        <v>3.2</v>
      </c>
      <c r="W27" s="2">
        <v>0</v>
      </c>
      <c r="X27" s="2">
        <v>91.8</v>
      </c>
      <c r="Y27" s="2">
        <v>28.7</v>
      </c>
      <c r="Z27" s="2">
        <v>88</v>
      </c>
      <c r="AA27" s="2">
        <v>61.6</v>
      </c>
    </row>
    <row r="28" spans="1:27" x14ac:dyDescent="0.25">
      <c r="A28">
        <v>2018</v>
      </c>
      <c r="B28" s="2">
        <v>10</v>
      </c>
      <c r="C28" s="2">
        <v>7</v>
      </c>
      <c r="D28" s="2">
        <v>10.6</v>
      </c>
      <c r="E28" s="2">
        <v>18</v>
      </c>
      <c r="F28" s="2">
        <v>22.3</v>
      </c>
      <c r="G28" s="2">
        <v>24.6</v>
      </c>
      <c r="H28" s="2">
        <v>27.5</v>
      </c>
      <c r="I28" s="2">
        <v>28.2</v>
      </c>
      <c r="J28" s="2">
        <v>23.3</v>
      </c>
      <c r="K28" s="2">
        <v>19.100000000000001</v>
      </c>
      <c r="L28" s="2">
        <v>14.4</v>
      </c>
      <c r="M28" s="2">
        <v>9</v>
      </c>
      <c r="O28">
        <v>2018</v>
      </c>
      <c r="P28" s="2">
        <v>76</v>
      </c>
      <c r="Q28" s="2">
        <v>118.5</v>
      </c>
      <c r="R28" s="2">
        <v>145.30000000000001</v>
      </c>
      <c r="S28" s="2">
        <v>56.5</v>
      </c>
      <c r="T28" s="2">
        <v>65</v>
      </c>
      <c r="U28" s="2">
        <v>50.9</v>
      </c>
      <c r="V28" s="2">
        <v>14.1</v>
      </c>
      <c r="W28" s="2">
        <v>11.1</v>
      </c>
      <c r="X28" s="2">
        <v>20.9</v>
      </c>
      <c r="Y28" s="2">
        <v>97.4</v>
      </c>
      <c r="Z28" s="2">
        <v>120.8</v>
      </c>
      <c r="AA28" s="2">
        <v>91.9</v>
      </c>
    </row>
    <row r="29" spans="1:27" x14ac:dyDescent="0.25">
      <c r="A29">
        <v>2019</v>
      </c>
      <c r="B29" s="2">
        <v>6.3</v>
      </c>
      <c r="C29" s="2">
        <v>10.1</v>
      </c>
      <c r="D29" s="2">
        <v>12.9</v>
      </c>
      <c r="E29" s="2">
        <v>15.6</v>
      </c>
      <c r="F29" s="2">
        <v>16.3</v>
      </c>
      <c r="G29" s="2">
        <v>26.5</v>
      </c>
      <c r="H29" s="2">
        <v>27</v>
      </c>
      <c r="I29" s="2">
        <v>28.2</v>
      </c>
      <c r="J29" s="2">
        <v>22.8</v>
      </c>
      <c r="K29" s="2">
        <v>18.8</v>
      </c>
      <c r="L29" s="2">
        <v>15.6</v>
      </c>
      <c r="M29" s="2">
        <v>11.1</v>
      </c>
      <c r="O29">
        <v>2019</v>
      </c>
      <c r="P29" s="2">
        <v>123.4</v>
      </c>
      <c r="Q29" s="2">
        <v>9.6999999999999993</v>
      </c>
      <c r="R29" s="2">
        <v>30</v>
      </c>
      <c r="S29" s="2">
        <v>96.2</v>
      </c>
      <c r="T29" s="2">
        <v>120.2</v>
      </c>
      <c r="U29" s="2">
        <v>8.5</v>
      </c>
      <c r="V29" s="2">
        <v>69.8</v>
      </c>
      <c r="W29" s="2">
        <v>12.4</v>
      </c>
      <c r="X29" s="2">
        <v>76.3</v>
      </c>
      <c r="Y29" s="2">
        <v>17.600000000000001</v>
      </c>
      <c r="Z29" s="2">
        <v>220.1</v>
      </c>
      <c r="AA29" s="2">
        <v>98.8</v>
      </c>
    </row>
    <row r="30" spans="1:27" x14ac:dyDescent="0.25">
      <c r="A30">
        <v>2020</v>
      </c>
      <c r="B30" s="2">
        <v>9.6999999999999993</v>
      </c>
      <c r="C30" s="2">
        <v>11</v>
      </c>
      <c r="D30" s="2">
        <v>11.8</v>
      </c>
      <c r="E30" s="2">
        <v>15.9</v>
      </c>
      <c r="F30" s="2">
        <v>19.7</v>
      </c>
      <c r="G30" s="2">
        <v>23</v>
      </c>
      <c r="H30" s="2">
        <v>26.4</v>
      </c>
      <c r="I30" s="2">
        <v>27.7</v>
      </c>
      <c r="J30" s="2">
        <v>23.6</v>
      </c>
      <c r="K30" s="2">
        <v>17</v>
      </c>
      <c r="L30" s="2">
        <v>13.7</v>
      </c>
      <c r="M30" s="2">
        <v>11.3</v>
      </c>
      <c r="O30">
        <v>2020</v>
      </c>
      <c r="P30" s="2">
        <v>3.4</v>
      </c>
      <c r="Q30" s="2">
        <v>36</v>
      </c>
      <c r="R30" s="2">
        <v>14.9</v>
      </c>
      <c r="S30" s="2">
        <v>29.7</v>
      </c>
      <c r="T30" s="2">
        <v>44.9</v>
      </c>
      <c r="U30" s="2">
        <v>21.7</v>
      </c>
      <c r="V30" s="2">
        <v>4.0999999999999996</v>
      </c>
      <c r="W30" s="2">
        <v>23.9</v>
      </c>
      <c r="X30" s="2">
        <v>104.6</v>
      </c>
      <c r="Y30" s="2">
        <v>84.6</v>
      </c>
      <c r="Z30" s="2">
        <v>61.2</v>
      </c>
      <c r="AA30" s="2">
        <v>296.89999999999998</v>
      </c>
    </row>
    <row r="31" spans="1:27" x14ac:dyDescent="0.25">
      <c r="A31">
        <v>2021</v>
      </c>
      <c r="B31" s="2">
        <v>7.7</v>
      </c>
      <c r="C31" s="2">
        <v>10.3</v>
      </c>
      <c r="D31" s="2">
        <v>10.5</v>
      </c>
      <c r="E31" s="2">
        <v>12.9</v>
      </c>
      <c r="F31" s="2">
        <v>19.2</v>
      </c>
      <c r="G31" s="2">
        <v>26</v>
      </c>
      <c r="H31" s="2">
        <v>28.6</v>
      </c>
      <c r="I31" s="2">
        <v>27.3</v>
      </c>
      <c r="J31" s="2">
        <v>22.9</v>
      </c>
      <c r="K31" s="2">
        <v>16.399999999999999</v>
      </c>
      <c r="L31" s="2">
        <v>14.5</v>
      </c>
      <c r="M31" s="2">
        <v>9.8000000000000007</v>
      </c>
      <c r="O31">
        <v>2021</v>
      </c>
      <c r="P31" s="2">
        <v>107.8</v>
      </c>
      <c r="Q31" s="2">
        <v>47.4</v>
      </c>
      <c r="R31" s="2">
        <v>29.3</v>
      </c>
      <c r="S31" s="2">
        <v>61.2</v>
      </c>
      <c r="T31" s="2">
        <v>78.7</v>
      </c>
      <c r="U31" s="2">
        <v>4.3</v>
      </c>
      <c r="V31" s="2">
        <v>15.8</v>
      </c>
      <c r="W31" s="2">
        <v>121.2</v>
      </c>
      <c r="X31" s="2">
        <v>22.3</v>
      </c>
      <c r="Y31" s="2">
        <v>64.7</v>
      </c>
      <c r="Z31" s="2">
        <v>222.6</v>
      </c>
      <c r="AA31" s="2">
        <v>155.1</v>
      </c>
    </row>
    <row r="32" spans="1:27" x14ac:dyDescent="0.25">
      <c r="A32">
        <v>2022</v>
      </c>
      <c r="B32" s="2">
        <v>8.6</v>
      </c>
      <c r="C32" s="2">
        <v>10.1</v>
      </c>
      <c r="D32" s="2">
        <v>10.3</v>
      </c>
      <c r="E32" s="2">
        <v>14</v>
      </c>
      <c r="F32" s="2">
        <v>21.7</v>
      </c>
      <c r="G32" s="2">
        <v>27.4</v>
      </c>
      <c r="H32" s="2">
        <v>28.7</v>
      </c>
      <c r="I32" s="2">
        <v>27.4</v>
      </c>
      <c r="J32" s="2">
        <v>21.7</v>
      </c>
      <c r="K32" s="2">
        <v>19.899999999999999</v>
      </c>
      <c r="L32" s="2">
        <v>14.4</v>
      </c>
      <c r="M32" s="2">
        <v>12</v>
      </c>
      <c r="O32">
        <v>2022</v>
      </c>
      <c r="P32" s="2">
        <v>6.8</v>
      </c>
      <c r="Q32" s="2">
        <v>47.6</v>
      </c>
      <c r="R32" s="2">
        <v>7</v>
      </c>
      <c r="S32" s="2">
        <v>57.7</v>
      </c>
      <c r="T32" s="2">
        <v>8</v>
      </c>
      <c r="U32" s="2">
        <v>7.7</v>
      </c>
      <c r="V32" s="2">
        <v>4.0999999999999996</v>
      </c>
      <c r="W32" s="2">
        <v>42.4</v>
      </c>
      <c r="X32" s="2">
        <v>27.6</v>
      </c>
      <c r="Y32" s="2">
        <v>9</v>
      </c>
      <c r="Z32" s="2">
        <v>134.1</v>
      </c>
      <c r="AA32" s="2">
        <v>177.3</v>
      </c>
    </row>
    <row r="33" spans="1:27" x14ac:dyDescent="0.25">
      <c r="A33">
        <v>2023</v>
      </c>
      <c r="B33" s="2">
        <v>9.6999999999999993</v>
      </c>
      <c r="C33" s="2">
        <v>8.9</v>
      </c>
      <c r="D33" s="2">
        <v>12.4</v>
      </c>
      <c r="E33" s="2">
        <v>14</v>
      </c>
      <c r="F33" s="2">
        <v>19.8</v>
      </c>
      <c r="G33" s="2">
        <v>24.2</v>
      </c>
      <c r="H33" s="2">
        <v>28.6</v>
      </c>
      <c r="I33" s="2">
        <v>27.1</v>
      </c>
      <c r="J33" s="2">
        <v>24.6</v>
      </c>
      <c r="K33" s="2">
        <v>20.6</v>
      </c>
      <c r="L33" s="2">
        <v>13.7</v>
      </c>
      <c r="M33" s="2">
        <v>11.4</v>
      </c>
      <c r="O33">
        <v>2023</v>
      </c>
      <c r="P33" s="2">
        <v>123.3</v>
      </c>
      <c r="Q33" s="2">
        <v>43.1</v>
      </c>
      <c r="R33" s="2">
        <v>68.599999999999994</v>
      </c>
      <c r="S33" s="2">
        <v>54</v>
      </c>
      <c r="T33" s="2">
        <v>142.80000000000001</v>
      </c>
      <c r="U33" s="2">
        <v>55.9</v>
      </c>
      <c r="V33" s="2">
        <v>2.5</v>
      </c>
      <c r="W33" s="2">
        <v>128.9</v>
      </c>
      <c r="X33" s="2">
        <v>58.7</v>
      </c>
      <c r="Y33" s="2">
        <v>47.1</v>
      </c>
      <c r="Z33" s="2">
        <v>186.7</v>
      </c>
      <c r="AA33" s="2">
        <v>54.2</v>
      </c>
    </row>
    <row r="34" spans="1:27" x14ac:dyDescent="0.25">
      <c r="A34">
        <v>2024</v>
      </c>
      <c r="B34">
        <v>9.9</v>
      </c>
      <c r="C34">
        <v>12.7</v>
      </c>
      <c r="D34">
        <v>13.4</v>
      </c>
      <c r="E34">
        <v>17.2</v>
      </c>
      <c r="F34">
        <v>20.5</v>
      </c>
      <c r="G34">
        <v>26.2</v>
      </c>
      <c r="H34">
        <v>29.5</v>
      </c>
      <c r="I34">
        <v>29.5</v>
      </c>
      <c r="J34">
        <v>22.3</v>
      </c>
      <c r="K34">
        <v>19.399999999999999</v>
      </c>
      <c r="L34">
        <v>13.3</v>
      </c>
      <c r="M34">
        <v>10.4</v>
      </c>
      <c r="O34">
        <v>2024</v>
      </c>
      <c r="P34">
        <v>63.7</v>
      </c>
      <c r="Q34">
        <v>43.8</v>
      </c>
      <c r="R34">
        <v>142</v>
      </c>
      <c r="S34">
        <v>26.8</v>
      </c>
      <c r="T34">
        <v>16.899999999999999</v>
      </c>
      <c r="U34">
        <v>41.1</v>
      </c>
      <c r="V34">
        <v>14.5</v>
      </c>
      <c r="W34">
        <v>68.2</v>
      </c>
      <c r="X34">
        <v>124</v>
      </c>
      <c r="Y34">
        <v>54.6</v>
      </c>
      <c r="Z34">
        <v>74.5</v>
      </c>
      <c r="AA34">
        <v>58.1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016B-6491-4E94-9A35-DF5E2786C4C6}">
  <dimension ref="A1:AA64"/>
  <sheetViews>
    <sheetView topLeftCell="A9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7.3433333333333346</v>
      </c>
      <c r="C2" s="4">
        <f t="shared" ref="C2:L2" si="0">AVERAGE(C5:C46)</f>
        <v>8.1133333333333333</v>
      </c>
      <c r="D2" s="4">
        <f t="shared" si="0"/>
        <v>10.686666666666664</v>
      </c>
      <c r="E2" s="4">
        <f t="shared" si="0"/>
        <v>14.196666666666667</v>
      </c>
      <c r="F2" s="4">
        <f t="shared" si="0"/>
        <v>19.016666666666666</v>
      </c>
      <c r="G2" s="4">
        <f t="shared" si="0"/>
        <v>23.57</v>
      </c>
      <c r="H2" s="4">
        <f t="shared" si="0"/>
        <v>26.219999999999995</v>
      </c>
      <c r="I2" s="4">
        <f t="shared" si="0"/>
        <v>25.75333333333333</v>
      </c>
      <c r="J2" s="4">
        <f t="shared" si="0"/>
        <v>20.810000000000006</v>
      </c>
      <c r="K2" s="4">
        <f t="shared" si="0"/>
        <v>16.7</v>
      </c>
      <c r="L2" s="4">
        <f t="shared" si="0"/>
        <v>12.393333333333334</v>
      </c>
      <c r="M2" s="4">
        <f>AVERAGE(M5:M46)</f>
        <v>8.7100000000000009</v>
      </c>
      <c r="O2" s="30"/>
      <c r="P2" s="4">
        <f>AVERAGE(P5:P46)</f>
        <v>73.98</v>
      </c>
      <c r="Q2" s="4">
        <f t="shared" ref="Q2:Z2" si="1">AVERAGE(Q5:Q46)</f>
        <v>60.059999999999995</v>
      </c>
      <c r="R2" s="4">
        <f t="shared" si="1"/>
        <v>57.356666666666655</v>
      </c>
      <c r="S2" s="4">
        <f t="shared" si="1"/>
        <v>60.679999999999986</v>
      </c>
      <c r="T2" s="4">
        <f t="shared" si="1"/>
        <v>50.853333333333339</v>
      </c>
      <c r="U2" s="4">
        <f t="shared" si="1"/>
        <v>46.956666666666663</v>
      </c>
      <c r="V2" s="4">
        <f t="shared" si="1"/>
        <v>26.376666666666669</v>
      </c>
      <c r="W2" s="4">
        <f t="shared" si="1"/>
        <v>40.563333333333347</v>
      </c>
      <c r="X2" s="4">
        <f t="shared" si="1"/>
        <v>92.559999999999988</v>
      </c>
      <c r="Y2" s="4">
        <f t="shared" si="1"/>
        <v>72.98</v>
      </c>
      <c r="Z2" s="4">
        <f t="shared" si="1"/>
        <v>122.83666666666667</v>
      </c>
      <c r="AA2" s="4">
        <f>AVERAGE(AA5:AA46)</f>
        <v>104.46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>
        <v>6.3</v>
      </c>
      <c r="C5">
        <v>10.1</v>
      </c>
      <c r="D5">
        <v>8.9</v>
      </c>
      <c r="E5">
        <v>12.5</v>
      </c>
      <c r="F5">
        <v>17.5</v>
      </c>
      <c r="G5">
        <v>20.9</v>
      </c>
      <c r="H5">
        <v>26.3</v>
      </c>
      <c r="I5">
        <v>23.4</v>
      </c>
      <c r="J5">
        <v>18.8</v>
      </c>
      <c r="K5">
        <v>17.3</v>
      </c>
      <c r="L5">
        <v>9.9</v>
      </c>
      <c r="M5">
        <v>9.1999999999999993</v>
      </c>
      <c r="O5">
        <v>1995</v>
      </c>
      <c r="P5" s="2">
        <v>47.2</v>
      </c>
      <c r="Q5" s="2">
        <v>53.4</v>
      </c>
      <c r="R5" s="2">
        <v>111.9</v>
      </c>
      <c r="S5" s="2">
        <v>50</v>
      </c>
      <c r="T5" s="2">
        <v>86.9</v>
      </c>
      <c r="U5" s="2">
        <v>86.2</v>
      </c>
      <c r="V5" s="2">
        <v>20.2</v>
      </c>
      <c r="W5" s="2">
        <v>27.8</v>
      </c>
      <c r="X5" s="2">
        <v>134.9</v>
      </c>
      <c r="Y5" s="2">
        <v>3.9</v>
      </c>
      <c r="Z5" s="2">
        <v>54.6</v>
      </c>
      <c r="AA5" s="2">
        <v>196.5</v>
      </c>
    </row>
    <row r="6" spans="1:27" x14ac:dyDescent="0.25">
      <c r="A6">
        <v>1996</v>
      </c>
      <c r="B6">
        <v>8.1999999999999993</v>
      </c>
      <c r="C6">
        <v>5.7</v>
      </c>
      <c r="D6">
        <v>7.9</v>
      </c>
      <c r="E6">
        <v>14</v>
      </c>
      <c r="F6">
        <v>18.600000000000001</v>
      </c>
      <c r="G6">
        <v>23.3</v>
      </c>
      <c r="H6">
        <v>24.7</v>
      </c>
      <c r="I6">
        <v>24.2</v>
      </c>
      <c r="J6">
        <v>17.2</v>
      </c>
      <c r="K6">
        <v>15.6</v>
      </c>
      <c r="L6">
        <v>12.6</v>
      </c>
      <c r="M6">
        <v>7.8</v>
      </c>
      <c r="O6">
        <v>1996</v>
      </c>
      <c r="P6" s="2">
        <v>81.8</v>
      </c>
      <c r="Q6" s="2">
        <v>40.200000000000003</v>
      </c>
      <c r="R6" s="2">
        <v>80.900000000000006</v>
      </c>
      <c r="S6" s="2">
        <v>28.8</v>
      </c>
      <c r="T6" s="2">
        <v>76.900000000000006</v>
      </c>
      <c r="U6" s="2">
        <v>20.100000000000001</v>
      </c>
      <c r="V6" s="2">
        <v>1.4</v>
      </c>
      <c r="W6" s="2">
        <v>172.2</v>
      </c>
      <c r="X6" s="2">
        <v>219.6</v>
      </c>
      <c r="Y6" s="2">
        <v>70.8</v>
      </c>
      <c r="Z6" s="2">
        <v>138</v>
      </c>
      <c r="AA6" s="2">
        <v>128.9</v>
      </c>
    </row>
    <row r="7" spans="1:27" x14ac:dyDescent="0.25">
      <c r="A7">
        <v>1997</v>
      </c>
      <c r="B7">
        <v>8.8000000000000007</v>
      </c>
      <c r="C7">
        <v>8.6</v>
      </c>
      <c r="D7">
        <v>11.4</v>
      </c>
      <c r="E7">
        <v>10.199999999999999</v>
      </c>
      <c r="F7">
        <v>18.7</v>
      </c>
      <c r="G7">
        <v>23.3</v>
      </c>
      <c r="H7">
        <v>24.4</v>
      </c>
      <c r="I7">
        <v>24.3</v>
      </c>
      <c r="J7">
        <v>21</v>
      </c>
      <c r="K7">
        <v>14.4</v>
      </c>
      <c r="L7">
        <v>12.1</v>
      </c>
      <c r="M7">
        <v>8.8000000000000007</v>
      </c>
      <c r="O7">
        <v>1997</v>
      </c>
      <c r="P7" s="2">
        <v>20.2</v>
      </c>
      <c r="Q7" s="2">
        <v>40.200000000000003</v>
      </c>
      <c r="R7" s="2">
        <v>5.9</v>
      </c>
      <c r="S7" s="2">
        <v>91</v>
      </c>
      <c r="T7" s="2">
        <v>28.8</v>
      </c>
      <c r="U7" s="2">
        <v>36.1</v>
      </c>
      <c r="V7" s="2">
        <v>48.8</v>
      </c>
      <c r="W7" s="2">
        <v>27</v>
      </c>
      <c r="X7" s="2">
        <v>69.599999999999994</v>
      </c>
      <c r="Y7" s="2">
        <v>60.4</v>
      </c>
      <c r="Z7" s="2">
        <v>124.6</v>
      </c>
      <c r="AA7" s="2">
        <v>88.1</v>
      </c>
    </row>
    <row r="8" spans="1:27" x14ac:dyDescent="0.25">
      <c r="A8">
        <v>1998</v>
      </c>
      <c r="B8">
        <v>8.3000000000000007</v>
      </c>
      <c r="C8">
        <v>9.9</v>
      </c>
      <c r="D8">
        <v>9</v>
      </c>
      <c r="E8">
        <v>14.2</v>
      </c>
      <c r="F8">
        <v>18.5</v>
      </c>
      <c r="G8">
        <v>23</v>
      </c>
      <c r="H8">
        <v>26.2</v>
      </c>
      <c r="I8">
        <v>26.2</v>
      </c>
      <c r="J8">
        <v>19.8</v>
      </c>
      <c r="K8">
        <v>16.5</v>
      </c>
      <c r="L8">
        <v>9.1999999999999993</v>
      </c>
      <c r="M8">
        <v>6.2</v>
      </c>
      <c r="O8">
        <v>1998</v>
      </c>
      <c r="P8" s="2">
        <v>66.3</v>
      </c>
      <c r="Q8" s="2">
        <v>10.5</v>
      </c>
      <c r="R8" s="2">
        <v>11.6</v>
      </c>
      <c r="S8" s="2">
        <v>97.5</v>
      </c>
      <c r="T8" s="2">
        <v>37.299999999999997</v>
      </c>
      <c r="U8" s="2">
        <v>111.4</v>
      </c>
      <c r="V8" s="2">
        <v>30.9</v>
      </c>
      <c r="W8" s="2">
        <v>44.3</v>
      </c>
      <c r="X8" s="2">
        <v>188</v>
      </c>
      <c r="Y8" s="2">
        <v>70</v>
      </c>
      <c r="Z8" s="2">
        <v>54</v>
      </c>
      <c r="AA8" s="2">
        <v>67.5</v>
      </c>
    </row>
    <row r="9" spans="1:27" x14ac:dyDescent="0.25">
      <c r="A9">
        <v>1999</v>
      </c>
      <c r="B9">
        <v>7.4</v>
      </c>
      <c r="C9">
        <v>5.7</v>
      </c>
      <c r="D9">
        <v>10.9</v>
      </c>
      <c r="E9">
        <v>14</v>
      </c>
      <c r="F9">
        <v>19</v>
      </c>
      <c r="G9">
        <v>22.9</v>
      </c>
      <c r="H9">
        <v>25</v>
      </c>
      <c r="I9">
        <v>25.5</v>
      </c>
      <c r="J9">
        <v>22</v>
      </c>
      <c r="K9">
        <v>16.600000000000001</v>
      </c>
      <c r="L9">
        <v>10.7</v>
      </c>
      <c r="M9">
        <v>8.5</v>
      </c>
      <c r="O9">
        <v>1999</v>
      </c>
      <c r="P9" s="16">
        <v>59.1</v>
      </c>
      <c r="Q9" s="16">
        <v>50.2</v>
      </c>
      <c r="R9" s="16">
        <v>18.7</v>
      </c>
      <c r="S9" s="16">
        <v>102.6</v>
      </c>
      <c r="T9" s="16">
        <v>108.4</v>
      </c>
      <c r="U9" s="16">
        <v>85</v>
      </c>
      <c r="V9" s="16">
        <v>63.9</v>
      </c>
      <c r="W9" s="16">
        <v>29.7</v>
      </c>
      <c r="X9" s="16">
        <v>76.7</v>
      </c>
      <c r="Y9" s="16">
        <v>77.400000000000006</v>
      </c>
      <c r="Z9" s="16">
        <v>104.1</v>
      </c>
      <c r="AA9" s="16">
        <v>93</v>
      </c>
    </row>
    <row r="10" spans="1:27" x14ac:dyDescent="0.25">
      <c r="A10">
        <v>2000</v>
      </c>
      <c r="B10">
        <v>5.2</v>
      </c>
      <c r="C10">
        <v>7.9</v>
      </c>
      <c r="D10">
        <v>9.9</v>
      </c>
      <c r="E10">
        <v>15.7</v>
      </c>
      <c r="F10">
        <v>20.5</v>
      </c>
      <c r="G10">
        <v>24.2</v>
      </c>
      <c r="H10">
        <v>24.6</v>
      </c>
      <c r="I10">
        <v>26.4</v>
      </c>
      <c r="J10">
        <v>20.7</v>
      </c>
      <c r="K10">
        <v>18</v>
      </c>
      <c r="L10">
        <v>14.5</v>
      </c>
      <c r="M10">
        <v>10.4</v>
      </c>
      <c r="O10">
        <v>2000</v>
      </c>
      <c r="P10" s="16">
        <v>20.9</v>
      </c>
      <c r="Q10" s="16">
        <v>24.8</v>
      </c>
      <c r="R10" s="16">
        <v>62.3</v>
      </c>
      <c r="S10" s="16">
        <v>70</v>
      </c>
      <c r="T10" s="16">
        <v>36</v>
      </c>
      <c r="U10" s="16">
        <v>9.3000000000000007</v>
      </c>
      <c r="V10" s="16">
        <v>17.399999999999999</v>
      </c>
      <c r="W10" s="16">
        <v>0</v>
      </c>
      <c r="X10" s="16">
        <v>77.5</v>
      </c>
      <c r="Y10" s="16">
        <v>51.6</v>
      </c>
      <c r="Z10" s="16">
        <v>169.7</v>
      </c>
      <c r="AA10" s="16">
        <v>71.599999999999994</v>
      </c>
    </row>
    <row r="11" spans="1:27" x14ac:dyDescent="0.25">
      <c r="A11">
        <v>2001</v>
      </c>
      <c r="B11">
        <v>9.1999999999999993</v>
      </c>
      <c r="C11">
        <v>8.6999999999999993</v>
      </c>
      <c r="D11">
        <v>13.9</v>
      </c>
      <c r="E11">
        <v>13</v>
      </c>
      <c r="F11">
        <v>20.2</v>
      </c>
      <c r="G11">
        <v>21.9</v>
      </c>
      <c r="H11">
        <v>25.9</v>
      </c>
      <c r="I11">
        <v>26.4</v>
      </c>
      <c r="J11">
        <v>18.3</v>
      </c>
      <c r="K11">
        <v>18.2</v>
      </c>
      <c r="L11">
        <v>10.3</v>
      </c>
      <c r="M11">
        <v>4.5999999999999996</v>
      </c>
      <c r="O11">
        <v>2001</v>
      </c>
      <c r="P11" s="16">
        <v>177.1</v>
      </c>
      <c r="Q11" s="16">
        <v>23.9</v>
      </c>
      <c r="R11" s="16">
        <v>81.7</v>
      </c>
      <c r="S11" s="16">
        <v>70.3</v>
      </c>
      <c r="T11" s="16">
        <v>29.2</v>
      </c>
      <c r="U11" s="16">
        <v>48.4</v>
      </c>
      <c r="V11" s="16">
        <v>28.2</v>
      </c>
      <c r="W11" s="16">
        <v>17.600000000000001</v>
      </c>
      <c r="X11" s="16">
        <v>198.4</v>
      </c>
      <c r="Y11" s="16">
        <v>14.6</v>
      </c>
      <c r="Z11" s="16">
        <v>162</v>
      </c>
      <c r="AA11" s="16">
        <v>31.5</v>
      </c>
    </row>
    <row r="12" spans="1:27" x14ac:dyDescent="0.25">
      <c r="A12">
        <v>2002</v>
      </c>
      <c r="B12" s="14">
        <v>5.7</v>
      </c>
      <c r="C12" s="14">
        <v>9.8000000000000007</v>
      </c>
      <c r="D12" s="14">
        <v>12.4</v>
      </c>
      <c r="E12" s="14">
        <v>13.9</v>
      </c>
      <c r="F12" s="14">
        <v>19.5</v>
      </c>
      <c r="G12" s="14">
        <v>24.5</v>
      </c>
      <c r="H12" s="14">
        <v>25.9</v>
      </c>
      <c r="I12" s="14">
        <v>23.8</v>
      </c>
      <c r="J12" s="14">
        <v>19.3</v>
      </c>
      <c r="K12" s="14">
        <v>16.399999999999999</v>
      </c>
      <c r="L12" s="14">
        <v>14.4</v>
      </c>
      <c r="M12" s="14">
        <v>8.5</v>
      </c>
      <c r="O12">
        <v>2002</v>
      </c>
      <c r="P12" s="17">
        <v>23</v>
      </c>
      <c r="Q12" s="17">
        <v>54</v>
      </c>
      <c r="R12" s="17">
        <v>8</v>
      </c>
      <c r="S12" s="17">
        <v>44</v>
      </c>
      <c r="T12" s="17">
        <v>48</v>
      </c>
      <c r="U12" s="17">
        <v>10</v>
      </c>
      <c r="V12" s="17">
        <v>22</v>
      </c>
      <c r="W12" s="17">
        <v>129</v>
      </c>
      <c r="X12" s="17">
        <v>91</v>
      </c>
      <c r="Y12" s="17">
        <v>47</v>
      </c>
      <c r="Z12" s="17">
        <v>75</v>
      </c>
      <c r="AA12" s="17">
        <v>110</v>
      </c>
    </row>
    <row r="13" spans="1:27" x14ac:dyDescent="0.25">
      <c r="A13">
        <v>2003</v>
      </c>
      <c r="B13" s="14">
        <v>6.8</v>
      </c>
      <c r="C13" s="14">
        <v>4.0999999999999996</v>
      </c>
      <c r="D13" s="14">
        <v>10</v>
      </c>
      <c r="E13" s="14">
        <v>13.5</v>
      </c>
      <c r="F13" s="14">
        <v>21.2</v>
      </c>
      <c r="G13" s="14">
        <v>26.6</v>
      </c>
      <c r="H13" s="14">
        <v>26.8</v>
      </c>
      <c r="I13" s="14">
        <v>28.1</v>
      </c>
      <c r="J13" s="14">
        <v>19.8</v>
      </c>
      <c r="K13" s="14">
        <v>14.8</v>
      </c>
      <c r="L13" s="14">
        <v>13.6</v>
      </c>
      <c r="M13" s="14">
        <v>9.1999999999999993</v>
      </c>
      <c r="O13">
        <v>2003</v>
      </c>
      <c r="P13" s="17">
        <v>171.5</v>
      </c>
      <c r="Q13" s="17">
        <v>7.7</v>
      </c>
      <c r="R13" s="17">
        <v>4.7</v>
      </c>
      <c r="S13" s="17">
        <v>33</v>
      </c>
      <c r="T13" s="17">
        <v>6.8</v>
      </c>
      <c r="U13" s="17">
        <v>11.2</v>
      </c>
      <c r="V13" s="17">
        <v>6.8</v>
      </c>
      <c r="W13" s="17">
        <v>32.799999999999997</v>
      </c>
      <c r="X13" s="17">
        <v>68</v>
      </c>
      <c r="Y13" s="17">
        <v>105.2</v>
      </c>
      <c r="Z13" s="17">
        <v>86</v>
      </c>
      <c r="AA13" s="17">
        <v>50.4</v>
      </c>
    </row>
    <row r="14" spans="1:27" x14ac:dyDescent="0.25">
      <c r="A14">
        <v>2004</v>
      </c>
      <c r="B14" s="13">
        <v>5.4</v>
      </c>
      <c r="C14" s="13">
        <v>7.3</v>
      </c>
      <c r="D14" s="13">
        <v>9.3000000000000007</v>
      </c>
      <c r="E14" s="13">
        <v>13.8</v>
      </c>
      <c r="F14" s="13">
        <v>16.7</v>
      </c>
      <c r="G14" s="13">
        <v>21.8</v>
      </c>
      <c r="H14" s="13">
        <v>25.5</v>
      </c>
      <c r="I14" s="13">
        <v>24.7</v>
      </c>
      <c r="J14" s="13">
        <v>21.3</v>
      </c>
      <c r="K14" s="13">
        <v>18.5</v>
      </c>
      <c r="L14" s="13">
        <v>12.1</v>
      </c>
      <c r="M14" s="13">
        <v>9.5</v>
      </c>
      <c r="O14">
        <v>2004</v>
      </c>
      <c r="P14" s="16">
        <v>72.8</v>
      </c>
      <c r="Q14" s="16">
        <v>83.9</v>
      </c>
      <c r="R14" s="16">
        <v>87.5</v>
      </c>
      <c r="S14" s="16">
        <v>83.9</v>
      </c>
      <c r="T14" s="16">
        <v>65.3</v>
      </c>
      <c r="U14" s="16">
        <v>80.7</v>
      </c>
      <c r="V14" s="16">
        <v>26.8</v>
      </c>
      <c r="W14" s="16">
        <v>2.5</v>
      </c>
      <c r="X14" s="16">
        <v>13</v>
      </c>
      <c r="Y14" s="16">
        <v>54.7</v>
      </c>
      <c r="Z14" s="16">
        <v>115.6</v>
      </c>
      <c r="AA14" s="16">
        <v>260</v>
      </c>
    </row>
    <row r="15" spans="1:27" x14ac:dyDescent="0.25">
      <c r="A15">
        <v>2005</v>
      </c>
      <c r="B15" s="13">
        <v>5.5</v>
      </c>
      <c r="C15" s="13">
        <v>4.4000000000000004</v>
      </c>
      <c r="D15" s="13">
        <v>8.9</v>
      </c>
      <c r="E15" s="13">
        <v>13.4</v>
      </c>
      <c r="F15" s="13">
        <v>19.2</v>
      </c>
      <c r="G15" s="13">
        <v>23</v>
      </c>
      <c r="H15" s="13">
        <v>25.7</v>
      </c>
      <c r="I15" s="13">
        <v>22.9</v>
      </c>
      <c r="J15" s="13">
        <v>21</v>
      </c>
      <c r="K15" s="13">
        <v>15.9</v>
      </c>
      <c r="L15" s="13">
        <v>10.9</v>
      </c>
      <c r="M15" s="13">
        <v>7.2</v>
      </c>
      <c r="O15">
        <v>2005</v>
      </c>
      <c r="P15" s="16">
        <v>8.9</v>
      </c>
      <c r="Q15" s="16">
        <v>79.8</v>
      </c>
      <c r="R15" s="16">
        <v>70.900000000000006</v>
      </c>
      <c r="S15" s="16">
        <v>95.5</v>
      </c>
      <c r="T15" s="16">
        <v>30.4</v>
      </c>
      <c r="U15" s="16">
        <v>6.4</v>
      </c>
      <c r="V15" s="16">
        <v>8.6999999999999993</v>
      </c>
      <c r="W15" s="16">
        <v>77</v>
      </c>
      <c r="X15" s="16">
        <v>41.5</v>
      </c>
      <c r="Y15" s="16">
        <v>152.1</v>
      </c>
      <c r="Z15" s="16">
        <v>131.80000000000001</v>
      </c>
      <c r="AA15" s="16">
        <v>201.1</v>
      </c>
    </row>
    <row r="16" spans="1:27" x14ac:dyDescent="0.25">
      <c r="A16">
        <v>2006</v>
      </c>
      <c r="B16" s="13">
        <v>5.7</v>
      </c>
      <c r="C16" s="13">
        <v>6.8</v>
      </c>
      <c r="D16" s="13">
        <v>8.3000000000000007</v>
      </c>
      <c r="E16" s="13">
        <v>14.1</v>
      </c>
      <c r="F16" s="13">
        <v>18.600000000000001</v>
      </c>
      <c r="G16" s="13">
        <v>22.4</v>
      </c>
      <c r="H16" s="13">
        <v>26.7</v>
      </c>
      <c r="I16" s="13">
        <v>23</v>
      </c>
      <c r="J16" s="13">
        <v>21.5</v>
      </c>
      <c r="K16" s="13">
        <v>17.899999999999999</v>
      </c>
      <c r="L16" s="13">
        <v>11.9</v>
      </c>
      <c r="M16" s="13">
        <v>9.5</v>
      </c>
      <c r="O16">
        <v>2006</v>
      </c>
      <c r="P16" s="16">
        <v>68.2</v>
      </c>
      <c r="Q16" s="16">
        <v>69.3</v>
      </c>
      <c r="R16" s="16">
        <v>88</v>
      </c>
      <c r="S16" s="16">
        <v>60.4</v>
      </c>
      <c r="T16" s="16">
        <v>57.8</v>
      </c>
      <c r="U16" s="16">
        <v>34</v>
      </c>
      <c r="V16" s="16">
        <v>29.3</v>
      </c>
      <c r="W16" s="16">
        <v>65.900000000000006</v>
      </c>
      <c r="X16" s="16">
        <v>34.799999999999997</v>
      </c>
      <c r="Y16" s="16">
        <v>5</v>
      </c>
      <c r="Z16" s="16">
        <v>45.5</v>
      </c>
      <c r="AA16" s="16">
        <v>28.4</v>
      </c>
    </row>
    <row r="17" spans="1:27" x14ac:dyDescent="0.25">
      <c r="A17">
        <v>2007</v>
      </c>
      <c r="B17" s="13">
        <v>9.6999999999999993</v>
      </c>
      <c r="C17" s="13">
        <v>10.5</v>
      </c>
      <c r="D17" s="13">
        <v>11.9</v>
      </c>
      <c r="E17" s="13">
        <v>16.2</v>
      </c>
      <c r="F17" s="13">
        <v>20.2</v>
      </c>
      <c r="G17" s="13">
        <v>24.3</v>
      </c>
      <c r="H17" s="13">
        <v>26.6</v>
      </c>
      <c r="I17" s="13">
        <v>25.2</v>
      </c>
      <c r="J17" s="13">
        <v>18.8</v>
      </c>
      <c r="K17" s="13">
        <v>15.1</v>
      </c>
      <c r="L17" s="13">
        <v>9.8000000000000007</v>
      </c>
      <c r="M17" s="13">
        <v>6.7</v>
      </c>
      <c r="O17">
        <v>2007</v>
      </c>
      <c r="P17" s="16">
        <v>34.1</v>
      </c>
      <c r="Q17" s="16">
        <v>118.6</v>
      </c>
      <c r="R17" s="16">
        <v>169.7</v>
      </c>
      <c r="S17" s="16">
        <v>0.7</v>
      </c>
      <c r="T17" s="16">
        <v>59.5</v>
      </c>
      <c r="U17" s="16">
        <v>17</v>
      </c>
      <c r="V17" s="16">
        <v>26.8</v>
      </c>
      <c r="W17" s="16">
        <v>51.4</v>
      </c>
      <c r="X17" s="16">
        <v>25.1</v>
      </c>
      <c r="Y17" s="16">
        <v>55.9</v>
      </c>
      <c r="Z17" s="16">
        <v>99.8</v>
      </c>
      <c r="AA17" s="16">
        <v>49.5</v>
      </c>
    </row>
    <row r="18" spans="1:27" x14ac:dyDescent="0.25">
      <c r="A18">
        <v>2008</v>
      </c>
      <c r="B18" s="13">
        <v>8.8000000000000007</v>
      </c>
      <c r="C18" s="13">
        <v>8.1</v>
      </c>
      <c r="D18" s="13">
        <v>11.2</v>
      </c>
      <c r="E18" s="13">
        <v>14.4</v>
      </c>
      <c r="F18" s="13">
        <v>20</v>
      </c>
      <c r="G18" s="13">
        <v>23.3</v>
      </c>
      <c r="H18" s="13">
        <v>26</v>
      </c>
      <c r="I18" s="13">
        <v>26.1</v>
      </c>
      <c r="J18" s="13">
        <v>19.7</v>
      </c>
      <c r="K18" s="13">
        <v>17</v>
      </c>
      <c r="L18" s="13">
        <v>12.8</v>
      </c>
      <c r="M18" s="13">
        <v>8.8000000000000007</v>
      </c>
      <c r="O18">
        <v>2008</v>
      </c>
      <c r="P18" s="16">
        <v>43.7</v>
      </c>
      <c r="Q18" s="16">
        <v>23.5</v>
      </c>
      <c r="R18" s="16">
        <v>94.9</v>
      </c>
      <c r="S18" s="16">
        <v>80.3</v>
      </c>
      <c r="T18" s="16">
        <v>1.7</v>
      </c>
      <c r="U18" s="16">
        <v>115.6</v>
      </c>
      <c r="V18" s="16">
        <v>7.3</v>
      </c>
      <c r="W18" s="16">
        <v>1</v>
      </c>
      <c r="X18" s="16">
        <v>10.5</v>
      </c>
      <c r="Y18" s="16">
        <v>16.399999999999999</v>
      </c>
      <c r="Z18" s="16">
        <v>183.9</v>
      </c>
      <c r="AA18" s="16">
        <v>159.69999999999999</v>
      </c>
    </row>
    <row r="19" spans="1:27" x14ac:dyDescent="0.25">
      <c r="A19">
        <v>2009</v>
      </c>
      <c r="B19" s="13">
        <v>6.9</v>
      </c>
      <c r="C19" s="13">
        <v>6.9</v>
      </c>
      <c r="D19" s="13">
        <v>10.4</v>
      </c>
      <c r="E19" s="13">
        <v>15</v>
      </c>
      <c r="F19" s="13">
        <v>20.6</v>
      </c>
      <c r="G19" s="13">
        <v>21.6</v>
      </c>
      <c r="H19" s="13">
        <v>25.9</v>
      </c>
      <c r="I19" s="13">
        <v>26.2</v>
      </c>
      <c r="J19" s="13">
        <v>22.3</v>
      </c>
      <c r="K19" s="13">
        <v>15.3</v>
      </c>
      <c r="L19" s="13">
        <v>12.2</v>
      </c>
      <c r="M19" s="13">
        <v>8.3000000000000007</v>
      </c>
      <c r="O19">
        <v>2009</v>
      </c>
      <c r="P19" s="16">
        <v>162.19999999999999</v>
      </c>
      <c r="Q19" s="16">
        <v>38.4</v>
      </c>
      <c r="R19" s="16">
        <v>44.7</v>
      </c>
      <c r="S19" s="16">
        <v>100.4</v>
      </c>
      <c r="T19" s="16">
        <v>27.9</v>
      </c>
      <c r="U19" s="16">
        <v>141.5</v>
      </c>
      <c r="V19" s="16">
        <v>5.7</v>
      </c>
      <c r="W19" s="16">
        <v>45.7</v>
      </c>
      <c r="X19" s="16">
        <v>26.1</v>
      </c>
      <c r="Y19" s="16">
        <v>101.7</v>
      </c>
      <c r="Z19" s="16">
        <v>98.6</v>
      </c>
      <c r="AA19" s="16">
        <v>123.4</v>
      </c>
    </row>
    <row r="20" spans="1:27" x14ac:dyDescent="0.25">
      <c r="A20">
        <v>2010</v>
      </c>
      <c r="B20" s="13">
        <v>5.8</v>
      </c>
      <c r="C20" s="13">
        <v>7.8</v>
      </c>
      <c r="D20" s="13">
        <v>9.8000000000000007</v>
      </c>
      <c r="E20" s="13">
        <v>14.2</v>
      </c>
      <c r="F20" s="13">
        <v>18</v>
      </c>
      <c r="G20" s="13">
        <v>22.9</v>
      </c>
      <c r="H20" s="13">
        <v>26.2</v>
      </c>
      <c r="I20" s="13">
        <v>24.7</v>
      </c>
      <c r="J20" s="13">
        <v>20.100000000000001</v>
      </c>
      <c r="K20" s="13">
        <v>14.8</v>
      </c>
      <c r="L20" s="13">
        <v>13.3</v>
      </c>
      <c r="M20" s="13">
        <v>7.4</v>
      </c>
      <c r="O20">
        <v>2010</v>
      </c>
      <c r="P20" s="16">
        <v>137.19999999999999</v>
      </c>
      <c r="Q20" s="16">
        <v>123.5</v>
      </c>
      <c r="R20" s="16">
        <v>48.9</v>
      </c>
      <c r="S20" s="16">
        <v>65.400000000000006</v>
      </c>
      <c r="T20" s="16">
        <v>83</v>
      </c>
      <c r="U20" s="16">
        <v>62.3</v>
      </c>
      <c r="V20" s="16">
        <v>51.3</v>
      </c>
      <c r="W20" s="16">
        <v>29</v>
      </c>
      <c r="X20" s="16">
        <v>116.5</v>
      </c>
      <c r="Y20" s="16">
        <v>48</v>
      </c>
      <c r="Z20" s="16">
        <v>180</v>
      </c>
      <c r="AA20" s="16">
        <v>94.2</v>
      </c>
    </row>
    <row r="21" spans="1:27" x14ac:dyDescent="0.25">
      <c r="A21">
        <v>2011</v>
      </c>
      <c r="B21" s="13">
        <v>6.8</v>
      </c>
      <c r="C21" s="13">
        <v>7.8</v>
      </c>
      <c r="D21" s="13">
        <v>10.1</v>
      </c>
      <c r="E21" s="13">
        <v>15.8</v>
      </c>
      <c r="F21" s="13">
        <v>19.600000000000001</v>
      </c>
      <c r="G21" s="13">
        <v>24.1</v>
      </c>
      <c r="H21" s="13">
        <v>25.2</v>
      </c>
      <c r="I21" s="13">
        <v>26.4</v>
      </c>
      <c r="J21" s="13">
        <v>24.1</v>
      </c>
      <c r="K21" s="13">
        <v>15.9</v>
      </c>
      <c r="L21" s="13">
        <v>11.7</v>
      </c>
      <c r="M21" s="13">
        <v>10</v>
      </c>
      <c r="O21">
        <v>2011</v>
      </c>
      <c r="P21" s="16">
        <v>27.3</v>
      </c>
      <c r="Q21" s="16">
        <v>12.5</v>
      </c>
      <c r="R21" s="16">
        <v>39.1</v>
      </c>
      <c r="S21" s="16">
        <v>17</v>
      </c>
      <c r="T21" s="16">
        <v>21</v>
      </c>
      <c r="U21" s="16">
        <v>18.7</v>
      </c>
      <c r="V21" s="16">
        <v>59</v>
      </c>
      <c r="W21" s="16">
        <v>0.2</v>
      </c>
      <c r="X21" s="16">
        <v>19.3</v>
      </c>
      <c r="Y21" s="16">
        <v>96</v>
      </c>
      <c r="Z21" s="16">
        <v>51.8</v>
      </c>
      <c r="AA21" s="16">
        <v>72.599999999999994</v>
      </c>
    </row>
    <row r="22" spans="1:27" x14ac:dyDescent="0.25">
      <c r="A22">
        <v>2012</v>
      </c>
      <c r="B22" s="13">
        <v>6.6</v>
      </c>
      <c r="C22" s="13">
        <v>3</v>
      </c>
      <c r="D22" s="13">
        <v>13</v>
      </c>
      <c r="E22" s="13">
        <v>13.8</v>
      </c>
      <c r="F22" s="13">
        <v>18</v>
      </c>
      <c r="G22" s="13">
        <v>25.3</v>
      </c>
      <c r="H22" s="13">
        <v>27.8</v>
      </c>
      <c r="I22" s="13">
        <v>27.3</v>
      </c>
      <c r="J22" s="13">
        <v>21.6</v>
      </c>
      <c r="K22" s="13">
        <v>17</v>
      </c>
      <c r="L22" s="13">
        <v>14.8</v>
      </c>
      <c r="M22" s="13">
        <v>7.7</v>
      </c>
      <c r="O22">
        <v>2012</v>
      </c>
      <c r="P22" s="16">
        <v>59.1</v>
      </c>
      <c r="Q22" s="16">
        <v>7.5</v>
      </c>
      <c r="R22" s="16">
        <v>3.2</v>
      </c>
      <c r="S22" s="16">
        <v>96.5</v>
      </c>
      <c r="T22" s="16">
        <v>16.100000000000001</v>
      </c>
      <c r="U22" s="16">
        <v>29.5</v>
      </c>
      <c r="V22" s="16">
        <v>15.5</v>
      </c>
      <c r="W22" s="16">
        <v>0.2</v>
      </c>
      <c r="X22" s="16">
        <v>149.69999999999999</v>
      </c>
      <c r="Y22" s="16">
        <v>85</v>
      </c>
      <c r="Z22" s="16">
        <v>46.3</v>
      </c>
      <c r="AA22" s="16">
        <v>157.4</v>
      </c>
    </row>
    <row r="23" spans="1:27" x14ac:dyDescent="0.25">
      <c r="A23">
        <v>2013</v>
      </c>
      <c r="B23" s="13">
        <v>8.1999999999999993</v>
      </c>
      <c r="C23" s="13">
        <v>7.1</v>
      </c>
      <c r="D23" s="13">
        <v>10.199999999999999</v>
      </c>
      <c r="E23" s="13">
        <v>15.5</v>
      </c>
      <c r="F23" s="13">
        <v>18</v>
      </c>
      <c r="G23" s="13">
        <v>22.2</v>
      </c>
      <c r="H23" s="13">
        <v>26.4</v>
      </c>
      <c r="I23" s="13">
        <v>26.1</v>
      </c>
      <c r="J23" s="13">
        <v>20.6</v>
      </c>
      <c r="K23" s="13">
        <v>17.3</v>
      </c>
      <c r="L23" s="13">
        <v>12.9</v>
      </c>
      <c r="M23" s="13">
        <v>9.8000000000000007</v>
      </c>
      <c r="O23">
        <v>2013</v>
      </c>
      <c r="P23" s="16">
        <v>85.5</v>
      </c>
      <c r="Q23" s="16">
        <v>69</v>
      </c>
      <c r="R23" s="16">
        <v>167.6</v>
      </c>
      <c r="S23" s="16">
        <v>81.5</v>
      </c>
      <c r="T23" s="16">
        <v>73</v>
      </c>
      <c r="U23" s="16">
        <v>40.200000000000003</v>
      </c>
      <c r="V23" s="16">
        <v>3.4</v>
      </c>
      <c r="W23" s="16">
        <v>30</v>
      </c>
      <c r="X23" s="16">
        <v>86.8</v>
      </c>
      <c r="Y23" s="16">
        <v>128.5</v>
      </c>
      <c r="Z23" s="16">
        <v>154.80000000000001</v>
      </c>
      <c r="AA23" s="16">
        <v>35.299999999999997</v>
      </c>
    </row>
    <row r="24" spans="1:27" x14ac:dyDescent="0.25">
      <c r="A24">
        <v>2014</v>
      </c>
      <c r="B24" s="13">
        <v>10.5</v>
      </c>
      <c r="C24" s="13">
        <v>11.5</v>
      </c>
      <c r="D24" s="13">
        <v>12</v>
      </c>
      <c r="E24" s="13">
        <v>14.8</v>
      </c>
      <c r="F24" s="13">
        <v>17.3</v>
      </c>
      <c r="G24" s="13">
        <v>23.1</v>
      </c>
      <c r="H24" s="13">
        <v>23.9</v>
      </c>
      <c r="I24" s="13">
        <v>24.4</v>
      </c>
      <c r="J24" s="13">
        <v>19.600000000000001</v>
      </c>
      <c r="K24" s="13">
        <v>17</v>
      </c>
      <c r="L24" s="13">
        <v>14.8</v>
      </c>
      <c r="M24" s="13">
        <v>9.1999999999999993</v>
      </c>
      <c r="O24">
        <v>2014</v>
      </c>
      <c r="P24" s="16">
        <v>139.1</v>
      </c>
      <c r="Q24" s="16">
        <v>174.2</v>
      </c>
      <c r="R24" s="16">
        <v>43.2</v>
      </c>
      <c r="S24" s="16">
        <v>71.599999999999994</v>
      </c>
      <c r="T24" s="16">
        <v>41.7</v>
      </c>
      <c r="U24" s="16">
        <v>67</v>
      </c>
      <c r="V24" s="16">
        <v>98.7</v>
      </c>
      <c r="W24" s="16">
        <v>40.5</v>
      </c>
      <c r="X24" s="16">
        <v>319.39999999999998</v>
      </c>
      <c r="Y24" s="16">
        <v>13.9</v>
      </c>
      <c r="Z24" s="16">
        <v>132.4</v>
      </c>
      <c r="AA24" s="16">
        <v>195.8</v>
      </c>
    </row>
    <row r="25" spans="1:27" x14ac:dyDescent="0.25">
      <c r="A25">
        <v>2015</v>
      </c>
      <c r="B25" s="13">
        <v>8.3000000000000007</v>
      </c>
      <c r="C25" s="13">
        <v>7.7</v>
      </c>
      <c r="D25" s="13">
        <v>10.7</v>
      </c>
      <c r="E25" s="13">
        <v>13.8</v>
      </c>
      <c r="F25" s="13">
        <v>19.899999999999999</v>
      </c>
      <c r="G25" s="13">
        <v>23.7</v>
      </c>
      <c r="H25" s="13">
        <v>28</v>
      </c>
      <c r="I25" s="13">
        <v>26.4</v>
      </c>
      <c r="J25" s="13">
        <v>21.8</v>
      </c>
      <c r="K25" s="13">
        <v>16.100000000000001</v>
      </c>
      <c r="L25" s="13">
        <v>11.6</v>
      </c>
      <c r="M25" s="13">
        <v>8.8000000000000007</v>
      </c>
      <c r="O25">
        <v>2015</v>
      </c>
      <c r="P25" s="16">
        <v>77.2</v>
      </c>
      <c r="Q25" s="16">
        <v>150.5</v>
      </c>
      <c r="R25" s="16">
        <v>41.1</v>
      </c>
      <c r="S25" s="16">
        <v>41.3</v>
      </c>
      <c r="T25" s="16">
        <v>60</v>
      </c>
      <c r="U25" s="16">
        <v>35</v>
      </c>
      <c r="V25" s="16">
        <v>21.4</v>
      </c>
      <c r="W25" s="16">
        <v>90.4</v>
      </c>
      <c r="X25" s="16">
        <v>57.1</v>
      </c>
      <c r="Y25" s="16">
        <v>370.1</v>
      </c>
      <c r="Z25" s="16">
        <v>44.2</v>
      </c>
      <c r="AA25" s="16">
        <v>0</v>
      </c>
    </row>
    <row r="26" spans="1:27" x14ac:dyDescent="0.25">
      <c r="A26">
        <v>2016</v>
      </c>
      <c r="B26" s="7">
        <v>8</v>
      </c>
      <c r="C26" s="7">
        <v>11</v>
      </c>
      <c r="D26" s="7">
        <v>10.9</v>
      </c>
      <c r="E26" s="7">
        <v>15.5</v>
      </c>
      <c r="F26" s="7">
        <v>18</v>
      </c>
      <c r="G26" s="7">
        <v>23.1</v>
      </c>
      <c r="H26" s="7">
        <v>26.5</v>
      </c>
      <c r="I26" s="7">
        <v>24.5</v>
      </c>
      <c r="J26" s="7">
        <v>21.3</v>
      </c>
      <c r="K26" s="7">
        <v>15.4</v>
      </c>
      <c r="L26" s="7">
        <v>12</v>
      </c>
      <c r="M26" s="7">
        <v>8.1</v>
      </c>
      <c r="O26">
        <v>2016</v>
      </c>
      <c r="P26" s="16">
        <v>79.7</v>
      </c>
      <c r="Q26" s="16">
        <v>137.19999999999999</v>
      </c>
      <c r="R26" s="16">
        <v>47.6</v>
      </c>
      <c r="S26" s="16">
        <v>43.6</v>
      </c>
      <c r="T26" s="16">
        <v>59.5</v>
      </c>
      <c r="U26" s="16">
        <v>52.5</v>
      </c>
      <c r="V26" s="16">
        <v>4.7</v>
      </c>
      <c r="W26" s="16">
        <v>29</v>
      </c>
      <c r="X26" s="16">
        <v>81.8</v>
      </c>
      <c r="Y26" s="16">
        <v>159.6</v>
      </c>
      <c r="Z26" s="16">
        <v>183</v>
      </c>
      <c r="AA26" s="16">
        <v>1.1000000000000001</v>
      </c>
    </row>
    <row r="27" spans="1:27" x14ac:dyDescent="0.25">
      <c r="A27">
        <v>2017</v>
      </c>
      <c r="B27" s="13">
        <v>3.1</v>
      </c>
      <c r="C27" s="13">
        <v>9.5</v>
      </c>
      <c r="D27" s="13">
        <v>12.5</v>
      </c>
      <c r="E27" s="13">
        <v>13.4</v>
      </c>
      <c r="F27" s="13">
        <v>18.7</v>
      </c>
      <c r="G27" s="13">
        <v>24.6</v>
      </c>
      <c r="H27" s="13">
        <v>26.4</v>
      </c>
      <c r="I27" s="13">
        <v>27.5</v>
      </c>
      <c r="J27" s="13">
        <v>19.5</v>
      </c>
      <c r="K27" s="13">
        <v>15.9</v>
      </c>
      <c r="L27" s="13">
        <v>11.2</v>
      </c>
      <c r="M27" s="13">
        <v>8</v>
      </c>
      <c r="O27">
        <v>2017</v>
      </c>
      <c r="P27" s="13">
        <v>80.2</v>
      </c>
      <c r="Q27" s="13">
        <v>71.2</v>
      </c>
      <c r="R27" s="13">
        <v>44.6</v>
      </c>
      <c r="S27" s="13">
        <v>73.8</v>
      </c>
      <c r="T27" s="13">
        <v>45.2</v>
      </c>
      <c r="U27" s="13">
        <v>8</v>
      </c>
      <c r="V27" s="13">
        <v>5.9</v>
      </c>
      <c r="W27" s="13">
        <v>4.2</v>
      </c>
      <c r="X27" s="13">
        <v>164.1</v>
      </c>
      <c r="Y27" s="13">
        <v>26.6</v>
      </c>
      <c r="Z27" s="13">
        <v>149.30000000000001</v>
      </c>
      <c r="AA27" s="13">
        <v>60.5</v>
      </c>
    </row>
    <row r="28" spans="1:27" x14ac:dyDescent="0.25">
      <c r="A28">
        <v>2018</v>
      </c>
      <c r="B28" s="13">
        <v>9.5</v>
      </c>
      <c r="C28" s="13">
        <v>5.5</v>
      </c>
      <c r="D28" s="13">
        <v>10.1</v>
      </c>
      <c r="E28" s="13">
        <v>17.2</v>
      </c>
      <c r="F28" s="13">
        <v>21.1</v>
      </c>
      <c r="G28" s="13">
        <v>23.5</v>
      </c>
      <c r="H28" s="13">
        <v>26.3</v>
      </c>
      <c r="I28" s="13">
        <v>26.8</v>
      </c>
      <c r="J28" s="13">
        <v>22.1</v>
      </c>
      <c r="K28" s="13">
        <v>18.5</v>
      </c>
      <c r="L28" s="13">
        <v>13.4</v>
      </c>
      <c r="M28" s="13">
        <v>8.1</v>
      </c>
      <c r="O28">
        <v>2018</v>
      </c>
      <c r="P28" s="13">
        <v>73.7</v>
      </c>
      <c r="Q28" s="13">
        <v>111.1</v>
      </c>
      <c r="R28" s="13">
        <v>97.6</v>
      </c>
      <c r="S28" s="13">
        <v>35.799999999999997</v>
      </c>
      <c r="T28" s="13">
        <v>108</v>
      </c>
      <c r="U28" s="13">
        <v>119.4</v>
      </c>
      <c r="V28" s="13">
        <v>49.8</v>
      </c>
      <c r="W28" s="13">
        <v>18.399999999999999</v>
      </c>
      <c r="X28" s="13">
        <v>17.2</v>
      </c>
      <c r="Y28" s="13">
        <v>40.299999999999997</v>
      </c>
      <c r="Z28" s="13">
        <v>115.5</v>
      </c>
      <c r="AA28" s="13">
        <v>92.1</v>
      </c>
    </row>
    <row r="29" spans="1:27" x14ac:dyDescent="0.25">
      <c r="A29">
        <v>2019</v>
      </c>
      <c r="B29" s="13">
        <v>5.3</v>
      </c>
      <c r="C29" s="13">
        <v>9</v>
      </c>
      <c r="D29" s="13">
        <v>12.3</v>
      </c>
      <c r="E29" s="13">
        <v>14.7</v>
      </c>
      <c r="F29" s="13">
        <v>15.7</v>
      </c>
      <c r="G29" s="13">
        <v>25.8</v>
      </c>
      <c r="H29" s="13">
        <v>26.4</v>
      </c>
      <c r="I29" s="13">
        <v>27.2</v>
      </c>
      <c r="J29" s="13">
        <v>21.8</v>
      </c>
      <c r="K29" s="13">
        <v>17.2</v>
      </c>
      <c r="L29" s="13">
        <v>15.1</v>
      </c>
      <c r="M29" s="13">
        <v>10.3</v>
      </c>
      <c r="O29">
        <v>2019</v>
      </c>
      <c r="P29" s="13">
        <v>96.6</v>
      </c>
      <c r="Q29" s="13">
        <v>10.5</v>
      </c>
      <c r="R29" s="13">
        <v>41</v>
      </c>
      <c r="S29" s="13">
        <v>83</v>
      </c>
      <c r="T29" s="13">
        <v>81.2</v>
      </c>
      <c r="U29" s="13">
        <v>8.1999999999999993</v>
      </c>
      <c r="V29" s="13">
        <v>41</v>
      </c>
      <c r="W29" s="13">
        <v>22</v>
      </c>
      <c r="X29" s="13">
        <v>84.9</v>
      </c>
      <c r="Y29" s="13">
        <v>34.700000000000003</v>
      </c>
      <c r="Z29" s="13">
        <v>235.9</v>
      </c>
      <c r="AA29" s="13">
        <v>169.3</v>
      </c>
    </row>
    <row r="30" spans="1:27" x14ac:dyDescent="0.25">
      <c r="A30">
        <v>2020</v>
      </c>
      <c r="B30" s="13">
        <v>8.3000000000000007</v>
      </c>
      <c r="C30" s="13">
        <v>10.199999999999999</v>
      </c>
      <c r="D30" s="13">
        <v>10.5</v>
      </c>
      <c r="E30" s="13">
        <v>14.7</v>
      </c>
      <c r="F30" s="13">
        <v>19.2</v>
      </c>
      <c r="G30" s="13">
        <v>22.4</v>
      </c>
      <c r="H30" s="13">
        <v>25.3</v>
      </c>
      <c r="I30" s="13">
        <v>26.9</v>
      </c>
      <c r="J30" s="13">
        <v>22.4</v>
      </c>
      <c r="K30" s="13">
        <v>15.9</v>
      </c>
      <c r="L30" s="13">
        <v>12</v>
      </c>
      <c r="M30" s="13">
        <v>10.3</v>
      </c>
      <c r="O30">
        <v>2020</v>
      </c>
      <c r="P30" s="13">
        <v>22.4</v>
      </c>
      <c r="Q30" s="13">
        <v>30.2</v>
      </c>
      <c r="R30" s="13">
        <v>13.4</v>
      </c>
      <c r="S30" s="13">
        <v>11.2</v>
      </c>
      <c r="T30" s="13">
        <v>32.700000000000003</v>
      </c>
      <c r="U30" s="13">
        <v>28.6</v>
      </c>
      <c r="V30" s="13">
        <v>6.6</v>
      </c>
      <c r="W30" s="13">
        <v>22.2</v>
      </c>
      <c r="X30" s="13">
        <v>136.4</v>
      </c>
      <c r="Y30" s="13">
        <v>129.9</v>
      </c>
      <c r="Z30" s="13">
        <v>40.6</v>
      </c>
      <c r="AA30" s="13">
        <v>154.30000000000001</v>
      </c>
    </row>
    <row r="31" spans="1:27" x14ac:dyDescent="0.25">
      <c r="A31">
        <v>2021</v>
      </c>
      <c r="B31" s="13">
        <v>7.3</v>
      </c>
      <c r="C31" s="13">
        <v>9.6</v>
      </c>
      <c r="D31" s="13">
        <v>9.6999999999999993</v>
      </c>
      <c r="E31" s="13">
        <v>12.2</v>
      </c>
      <c r="F31" s="13">
        <v>18.600000000000001</v>
      </c>
      <c r="G31" s="13">
        <v>24.9</v>
      </c>
      <c r="H31" s="13">
        <v>27.8</v>
      </c>
      <c r="I31" s="13">
        <v>26.4</v>
      </c>
      <c r="J31" s="13">
        <v>21.9</v>
      </c>
      <c r="K31" s="13">
        <v>15.5</v>
      </c>
      <c r="L31" s="13">
        <v>13.3</v>
      </c>
      <c r="M31" s="13">
        <v>9.1999999999999993</v>
      </c>
      <c r="O31">
        <v>2021</v>
      </c>
      <c r="P31" s="13">
        <v>130.19999999999999</v>
      </c>
      <c r="Q31" s="13">
        <v>33.299999999999997</v>
      </c>
      <c r="R31" s="13">
        <v>16</v>
      </c>
      <c r="S31" s="13">
        <v>48.6</v>
      </c>
      <c r="T31" s="13">
        <v>19.8</v>
      </c>
      <c r="U31" s="13">
        <v>0.1</v>
      </c>
      <c r="V31" s="13">
        <v>19.600000000000001</v>
      </c>
      <c r="W31" s="13">
        <v>43.5</v>
      </c>
      <c r="X31" s="13">
        <v>26.5</v>
      </c>
      <c r="Y31" s="13">
        <v>60.6</v>
      </c>
      <c r="Z31" s="13">
        <v>242.9</v>
      </c>
      <c r="AA31" s="13">
        <v>107.6</v>
      </c>
    </row>
    <row r="32" spans="1:27" x14ac:dyDescent="0.25">
      <c r="A32">
        <v>2022</v>
      </c>
      <c r="B32" s="13">
        <v>7.2</v>
      </c>
      <c r="C32" s="13">
        <v>9.3000000000000007</v>
      </c>
      <c r="D32" s="13">
        <v>9.4</v>
      </c>
      <c r="E32" s="13">
        <v>13.3</v>
      </c>
      <c r="F32" s="13">
        <v>20.6</v>
      </c>
      <c r="G32" s="13">
        <v>26.3</v>
      </c>
      <c r="H32" s="13">
        <v>28</v>
      </c>
      <c r="I32" s="13">
        <v>26.6</v>
      </c>
      <c r="J32" s="13">
        <v>21.1</v>
      </c>
      <c r="K32" s="13">
        <v>18.600000000000001</v>
      </c>
      <c r="L32" s="13">
        <v>13</v>
      </c>
      <c r="M32" s="13">
        <v>11.6</v>
      </c>
      <c r="O32">
        <v>2022</v>
      </c>
      <c r="P32" s="13">
        <v>13.5</v>
      </c>
      <c r="Q32" s="13">
        <v>70.099999999999994</v>
      </c>
      <c r="R32" s="13">
        <v>9</v>
      </c>
      <c r="S32" s="13">
        <v>56.2</v>
      </c>
      <c r="T32" s="13">
        <v>24.2</v>
      </c>
      <c r="U32" s="13">
        <v>17.100000000000001</v>
      </c>
      <c r="V32" s="13">
        <v>52.2</v>
      </c>
      <c r="W32" s="13">
        <v>11.7</v>
      </c>
      <c r="X32" s="13">
        <v>45.2</v>
      </c>
      <c r="Y32" s="13">
        <v>0</v>
      </c>
      <c r="Z32" s="13">
        <v>205.8</v>
      </c>
      <c r="AA32" s="13">
        <v>154.69999999999999</v>
      </c>
    </row>
    <row r="33" spans="1:27" x14ac:dyDescent="0.25">
      <c r="A33">
        <v>2023</v>
      </c>
      <c r="B33">
        <v>8.8000000000000007</v>
      </c>
      <c r="C33">
        <v>7.8</v>
      </c>
      <c r="D33">
        <v>11.9</v>
      </c>
      <c r="E33">
        <v>13</v>
      </c>
      <c r="F33">
        <v>18.8</v>
      </c>
      <c r="G33">
        <v>23.2</v>
      </c>
      <c r="H33">
        <v>27.5</v>
      </c>
      <c r="I33">
        <v>26.5</v>
      </c>
      <c r="J33">
        <v>23.5</v>
      </c>
      <c r="K33">
        <v>19.899999999999999</v>
      </c>
      <c r="L33">
        <v>13.5</v>
      </c>
      <c r="M33">
        <v>10.9</v>
      </c>
      <c r="O33">
        <v>2023</v>
      </c>
      <c r="P33">
        <v>109.4</v>
      </c>
      <c r="Q33">
        <v>44.6</v>
      </c>
      <c r="R33">
        <v>48.7</v>
      </c>
      <c r="S33">
        <v>75.099999999999994</v>
      </c>
      <c r="T33">
        <v>132.30000000000001</v>
      </c>
      <c r="U33">
        <v>65.400000000000006</v>
      </c>
      <c r="V33">
        <v>12.3</v>
      </c>
      <c r="W33">
        <v>98.5</v>
      </c>
      <c r="X33">
        <v>54.9</v>
      </c>
      <c r="Y33">
        <v>34</v>
      </c>
      <c r="Z33">
        <v>187.5</v>
      </c>
      <c r="AA33">
        <v>83.2</v>
      </c>
    </row>
    <row r="34" spans="1:27" x14ac:dyDescent="0.25">
      <c r="A34">
        <v>2024</v>
      </c>
      <c r="B34">
        <v>8.6999999999999993</v>
      </c>
      <c r="C34">
        <v>12.1</v>
      </c>
      <c r="D34">
        <v>13.2</v>
      </c>
      <c r="E34">
        <v>16.100000000000001</v>
      </c>
      <c r="F34">
        <v>20</v>
      </c>
      <c r="G34">
        <v>25</v>
      </c>
      <c r="H34">
        <v>28.7</v>
      </c>
      <c r="I34">
        <v>28.5</v>
      </c>
      <c r="J34">
        <v>21.4</v>
      </c>
      <c r="K34">
        <v>18.5</v>
      </c>
      <c r="L34">
        <v>12.2</v>
      </c>
      <c r="M34">
        <v>8.6999999999999993</v>
      </c>
      <c r="O34">
        <v>2024</v>
      </c>
      <c r="P34">
        <v>31.3</v>
      </c>
      <c r="Q34">
        <v>38</v>
      </c>
      <c r="R34">
        <v>118.3</v>
      </c>
      <c r="S34">
        <v>11.4</v>
      </c>
      <c r="T34">
        <v>27</v>
      </c>
      <c r="U34">
        <v>43.8</v>
      </c>
      <c r="V34">
        <v>5.7</v>
      </c>
      <c r="W34">
        <v>53.2</v>
      </c>
      <c r="X34">
        <v>142.30000000000001</v>
      </c>
      <c r="Y34">
        <v>75.5</v>
      </c>
      <c r="Z34">
        <v>71.900000000000006</v>
      </c>
      <c r="AA34">
        <v>96.1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  <row r="58" spans="2:14" x14ac:dyDescent="0.25">
      <c r="N58" s="13"/>
    </row>
    <row r="59" spans="2:14" x14ac:dyDescent="0.25">
      <c r="N59" s="13"/>
    </row>
    <row r="60" spans="2:14" x14ac:dyDescent="0.25">
      <c r="N60" s="13"/>
    </row>
    <row r="61" spans="2:14" x14ac:dyDescent="0.25">
      <c r="N61" s="13"/>
    </row>
    <row r="62" spans="2:14" x14ac:dyDescent="0.25">
      <c r="N62" s="13"/>
    </row>
    <row r="63" spans="2:14" x14ac:dyDescent="0.25">
      <c r="N63" s="13"/>
    </row>
    <row r="64" spans="2:14" x14ac:dyDescent="0.25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6E58-B1B2-4953-B0CA-6EE59ABBEB0A}">
  <dimension ref="A1:AA40"/>
  <sheetViews>
    <sheetView topLeftCell="A9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0.83333333333333315</v>
      </c>
      <c r="C2" s="4">
        <f t="shared" ref="C2:L2" si="0">AVERAGE(C5:C46)</f>
        <v>2.9699999999999993</v>
      </c>
      <c r="D2" s="4">
        <f t="shared" si="0"/>
        <v>6.6033333333333326</v>
      </c>
      <c r="E2" s="4">
        <f t="shared" si="0"/>
        <v>11.543333333333333</v>
      </c>
      <c r="F2" s="4">
        <f t="shared" si="0"/>
        <v>16.146666666666665</v>
      </c>
      <c r="G2" s="4">
        <f t="shared" si="0"/>
        <v>20.220000000000002</v>
      </c>
      <c r="H2" s="4">
        <f t="shared" si="0"/>
        <v>21.613333333333333</v>
      </c>
      <c r="I2" s="4">
        <f t="shared" si="0"/>
        <v>20.826666666666661</v>
      </c>
      <c r="J2" s="4">
        <f t="shared" si="0"/>
        <v>15.813333333333333</v>
      </c>
      <c r="K2" s="4">
        <f t="shared" si="0"/>
        <v>11.416666666666666</v>
      </c>
      <c r="L2" s="4">
        <f t="shared" si="0"/>
        <v>6.3733333333333322</v>
      </c>
      <c r="M2" s="4">
        <f>AVERAGE(M5:M46)</f>
        <v>1.7566666666666668</v>
      </c>
      <c r="O2" s="30"/>
      <c r="P2" s="4">
        <f>AVERAGE(P5:P46)</f>
        <v>47.106666666666676</v>
      </c>
      <c r="Q2" s="4">
        <f t="shared" ref="Q2:Z2" si="1">AVERAGE(Q5:Q46)</f>
        <v>47.863333333333344</v>
      </c>
      <c r="R2" s="4">
        <f t="shared" si="1"/>
        <v>49.346666666666664</v>
      </c>
      <c r="S2" s="4">
        <f t="shared" si="1"/>
        <v>62.103333333333339</v>
      </c>
      <c r="T2" s="4">
        <f t="shared" si="1"/>
        <v>86.396666666666661</v>
      </c>
      <c r="U2" s="4">
        <f t="shared" si="1"/>
        <v>89.463333333333352</v>
      </c>
      <c r="V2" s="4">
        <f t="shared" si="1"/>
        <v>93.376666666666679</v>
      </c>
      <c r="W2" s="4">
        <f t="shared" si="1"/>
        <v>87.496666666666655</v>
      </c>
      <c r="X2" s="4">
        <f t="shared" si="1"/>
        <v>115.69333333333331</v>
      </c>
      <c r="Y2" s="4">
        <f t="shared" si="1"/>
        <v>73.840000000000018</v>
      </c>
      <c r="Z2" s="4">
        <f t="shared" si="1"/>
        <v>73.140000000000015</v>
      </c>
      <c r="AA2" s="4">
        <f>AVERAGE(AA5:AA46)</f>
        <v>56.973333333333329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0.6</v>
      </c>
      <c r="C5" s="2">
        <v>5.8</v>
      </c>
      <c r="D5" s="2">
        <v>5.3</v>
      </c>
      <c r="E5" s="2">
        <v>11.2</v>
      </c>
      <c r="F5" s="2">
        <v>15.1</v>
      </c>
      <c r="G5" s="2">
        <v>17.7</v>
      </c>
      <c r="H5" s="2">
        <v>22.2</v>
      </c>
      <c r="I5" s="2">
        <v>18.899999999999999</v>
      </c>
      <c r="J5" s="2">
        <v>14.3</v>
      </c>
      <c r="K5" s="2">
        <v>11.1</v>
      </c>
      <c r="L5" s="2">
        <v>3.9</v>
      </c>
      <c r="M5" s="2">
        <v>0.4</v>
      </c>
      <c r="O5">
        <v>1995</v>
      </c>
      <c r="P5" s="2">
        <v>59.8</v>
      </c>
      <c r="Q5" s="2">
        <v>86.5</v>
      </c>
      <c r="R5" s="2">
        <v>96.6</v>
      </c>
      <c r="S5" s="2">
        <v>43.2</v>
      </c>
      <c r="T5" s="2">
        <v>65.5</v>
      </c>
      <c r="U5" s="2">
        <v>133.80000000000001</v>
      </c>
      <c r="V5" s="2">
        <v>103.2</v>
      </c>
      <c r="W5" s="2">
        <v>121.9</v>
      </c>
      <c r="X5" s="2">
        <v>162.30000000000001</v>
      </c>
      <c r="Y5" s="2">
        <v>2.4</v>
      </c>
      <c r="Z5" s="2">
        <v>38</v>
      </c>
      <c r="AA5" s="2">
        <v>54.9</v>
      </c>
    </row>
    <row r="6" spans="1:27" x14ac:dyDescent="0.25">
      <c r="A6">
        <v>1996</v>
      </c>
      <c r="B6" s="2">
        <v>-2</v>
      </c>
      <c r="C6" s="2">
        <v>-2</v>
      </c>
      <c r="D6" s="2">
        <v>2.5</v>
      </c>
      <c r="E6" s="2">
        <v>10.4</v>
      </c>
      <c r="F6" s="2">
        <v>16.5</v>
      </c>
      <c r="G6" s="2">
        <v>19.8</v>
      </c>
      <c r="H6" s="2">
        <v>18.8</v>
      </c>
      <c r="I6" s="2">
        <v>19</v>
      </c>
      <c r="J6" s="2">
        <v>12.5</v>
      </c>
      <c r="K6" s="2">
        <v>11.2</v>
      </c>
      <c r="L6" s="2">
        <v>7.7</v>
      </c>
      <c r="M6" s="2">
        <v>-1.7</v>
      </c>
      <c r="O6">
        <v>1996</v>
      </c>
      <c r="P6" s="2">
        <v>84.5</v>
      </c>
      <c r="Q6" s="2">
        <v>26.7</v>
      </c>
      <c r="R6" s="2">
        <v>8.8000000000000007</v>
      </c>
      <c r="S6" s="2">
        <v>114.6</v>
      </c>
      <c r="T6" s="2">
        <v>81.099999999999994</v>
      </c>
      <c r="U6" s="2">
        <v>44.5</v>
      </c>
      <c r="V6" s="2">
        <v>84.3</v>
      </c>
      <c r="W6" s="2">
        <v>167.3</v>
      </c>
      <c r="X6" s="2">
        <v>145.6</v>
      </c>
      <c r="Y6" s="2">
        <v>63.6</v>
      </c>
      <c r="Z6" s="2">
        <v>65.8</v>
      </c>
      <c r="AA6" s="2">
        <v>46.7</v>
      </c>
    </row>
    <row r="7" spans="1:27" x14ac:dyDescent="0.25">
      <c r="A7">
        <v>1997</v>
      </c>
      <c r="B7" s="2">
        <v>-1.9</v>
      </c>
      <c r="C7" s="2">
        <v>3.9</v>
      </c>
      <c r="D7" s="2">
        <v>5.9</v>
      </c>
      <c r="E7" s="2">
        <v>8</v>
      </c>
      <c r="F7" s="2">
        <v>16.5</v>
      </c>
      <c r="G7" s="2">
        <v>19.3</v>
      </c>
      <c r="H7" s="2">
        <v>19.600000000000001</v>
      </c>
      <c r="I7" s="2">
        <v>19.7</v>
      </c>
      <c r="J7" s="2">
        <v>15.2</v>
      </c>
      <c r="K7" s="2">
        <v>8.4</v>
      </c>
      <c r="L7" s="2">
        <v>5.4</v>
      </c>
      <c r="M7" s="2">
        <v>2.4</v>
      </c>
      <c r="O7">
        <v>1997</v>
      </c>
      <c r="P7" s="2">
        <v>36.6</v>
      </c>
      <c r="Q7" s="2">
        <v>23.4</v>
      </c>
      <c r="R7" s="2">
        <v>19.5</v>
      </c>
      <c r="S7" s="2">
        <v>32.1</v>
      </c>
      <c r="T7" s="2">
        <v>70.3</v>
      </c>
      <c r="U7" s="2">
        <v>143.4</v>
      </c>
      <c r="V7" s="2">
        <v>179.4</v>
      </c>
      <c r="W7" s="2">
        <v>64.5</v>
      </c>
      <c r="X7" s="2">
        <v>46</v>
      </c>
      <c r="Y7" s="2">
        <v>42</v>
      </c>
      <c r="Z7" s="2">
        <v>103</v>
      </c>
      <c r="AA7" s="2">
        <v>88.9</v>
      </c>
    </row>
    <row r="8" spans="1:27" x14ac:dyDescent="0.25">
      <c r="A8">
        <v>1998</v>
      </c>
      <c r="B8" s="2">
        <v>2.9</v>
      </c>
      <c r="C8" s="2">
        <v>5.2</v>
      </c>
      <c r="D8" s="2">
        <v>4.5999999999999996</v>
      </c>
      <c r="E8" s="2">
        <v>11.9</v>
      </c>
      <c r="F8" s="2">
        <v>15.1</v>
      </c>
      <c r="G8" s="2">
        <v>19.5</v>
      </c>
      <c r="H8" s="2">
        <v>20.399999999999999</v>
      </c>
      <c r="I8" s="2">
        <v>20.100000000000001</v>
      </c>
      <c r="J8" s="2">
        <v>15.2</v>
      </c>
      <c r="K8" s="2">
        <v>11.5</v>
      </c>
      <c r="L8" s="2">
        <v>2.9</v>
      </c>
      <c r="M8" s="2">
        <v>-2.7</v>
      </c>
      <c r="O8">
        <v>1998</v>
      </c>
      <c r="P8" s="2">
        <v>8.3000000000000007</v>
      </c>
      <c r="Q8" s="2">
        <v>1.2</v>
      </c>
      <c r="R8" s="2">
        <v>55.9</v>
      </c>
      <c r="S8" s="2">
        <v>63.5</v>
      </c>
      <c r="T8" s="2">
        <v>76.599999999999994</v>
      </c>
      <c r="U8" s="2">
        <v>85.6</v>
      </c>
      <c r="V8" s="2">
        <v>132.1</v>
      </c>
      <c r="W8" s="2">
        <v>81.5</v>
      </c>
      <c r="X8" s="2">
        <v>169.7</v>
      </c>
      <c r="Y8" s="2">
        <v>139.5</v>
      </c>
      <c r="Z8" s="2">
        <v>105</v>
      </c>
      <c r="AA8" s="2">
        <v>31.7</v>
      </c>
    </row>
    <row r="9" spans="1:27" x14ac:dyDescent="0.25">
      <c r="A9">
        <v>1999</v>
      </c>
      <c r="B9" s="2">
        <v>0.3</v>
      </c>
      <c r="C9" s="2">
        <v>1.1000000000000001</v>
      </c>
      <c r="D9" s="2">
        <v>7.9</v>
      </c>
      <c r="E9" s="2">
        <v>11.7</v>
      </c>
      <c r="F9" s="2">
        <v>16.2</v>
      </c>
      <c r="G9" s="2">
        <v>19.2</v>
      </c>
      <c r="H9" s="2">
        <v>21.2</v>
      </c>
      <c r="I9" s="2">
        <v>19.5</v>
      </c>
      <c r="J9" s="2">
        <v>17.600000000000001</v>
      </c>
      <c r="K9" s="2">
        <v>11</v>
      </c>
      <c r="L9" s="2">
        <v>3.1</v>
      </c>
      <c r="M9" s="2">
        <v>0.8</v>
      </c>
      <c r="O9">
        <v>1999</v>
      </c>
      <c r="P9" s="2">
        <v>24.8</v>
      </c>
      <c r="Q9" s="2">
        <v>60.3</v>
      </c>
      <c r="R9" s="2">
        <v>37.700000000000003</v>
      </c>
      <c r="S9" s="2">
        <v>61.7</v>
      </c>
      <c r="T9" s="2">
        <v>110.5</v>
      </c>
      <c r="U9" s="2">
        <v>77.099999999999994</v>
      </c>
      <c r="V9" s="2">
        <v>99.9</v>
      </c>
      <c r="W9" s="2">
        <v>111.8</v>
      </c>
      <c r="X9" s="2">
        <v>34.1</v>
      </c>
      <c r="Y9" s="2">
        <v>69.900000000000006</v>
      </c>
      <c r="Z9" s="2">
        <v>44</v>
      </c>
      <c r="AA9" s="2">
        <v>76.400000000000006</v>
      </c>
    </row>
    <row r="10" spans="1:27" x14ac:dyDescent="0.25">
      <c r="A10">
        <v>2000</v>
      </c>
      <c r="B10" s="2">
        <v>-1.9</v>
      </c>
      <c r="C10" s="2">
        <v>4.8</v>
      </c>
      <c r="D10" s="2">
        <v>7.3</v>
      </c>
      <c r="E10" s="2">
        <v>13.9</v>
      </c>
      <c r="F10" s="2">
        <v>17</v>
      </c>
      <c r="G10" s="2">
        <v>20.7</v>
      </c>
      <c r="H10" s="2">
        <v>20</v>
      </c>
      <c r="I10" s="2">
        <v>22.3</v>
      </c>
      <c r="J10" s="2">
        <v>16</v>
      </c>
      <c r="K10" s="2">
        <v>12.7</v>
      </c>
      <c r="L10" s="2">
        <v>9.1</v>
      </c>
      <c r="M10" s="2">
        <v>3.5</v>
      </c>
      <c r="O10">
        <v>2000</v>
      </c>
      <c r="P10" s="2">
        <v>6.8</v>
      </c>
      <c r="Q10" s="2">
        <v>29.3</v>
      </c>
      <c r="R10" s="2">
        <v>34.6</v>
      </c>
      <c r="S10" s="2">
        <v>30.6</v>
      </c>
      <c r="T10" s="2">
        <v>50.1</v>
      </c>
      <c r="U10" s="2">
        <v>51.3</v>
      </c>
      <c r="V10" s="2">
        <v>72.7</v>
      </c>
      <c r="W10" s="2">
        <v>7.7</v>
      </c>
      <c r="X10" s="2">
        <v>76.400000000000006</v>
      </c>
      <c r="Y10" s="2">
        <v>63.3</v>
      </c>
      <c r="Z10" s="2">
        <v>86.8</v>
      </c>
      <c r="AA10" s="2">
        <v>77.2</v>
      </c>
    </row>
    <row r="11" spans="1:27" x14ac:dyDescent="0.25">
      <c r="A11">
        <v>2001</v>
      </c>
      <c r="B11" s="2">
        <v>2.5</v>
      </c>
      <c r="C11" s="2">
        <v>4.2</v>
      </c>
      <c r="D11" s="2">
        <v>9.1999999999999993</v>
      </c>
      <c r="E11" s="2">
        <v>10.1</v>
      </c>
      <c r="F11" s="2">
        <v>17.399999999999999</v>
      </c>
      <c r="G11" s="2">
        <v>18</v>
      </c>
      <c r="H11" s="2">
        <v>21.3</v>
      </c>
      <c r="I11" s="2">
        <v>21.9</v>
      </c>
      <c r="J11" s="2">
        <v>14.1</v>
      </c>
      <c r="K11" s="2">
        <v>13.8</v>
      </c>
      <c r="L11" s="2">
        <v>3.3</v>
      </c>
      <c r="M11" s="2">
        <v>-2.6</v>
      </c>
      <c r="O11">
        <v>2001</v>
      </c>
      <c r="P11" s="2">
        <v>54.1</v>
      </c>
      <c r="Q11" s="2">
        <v>0.3</v>
      </c>
      <c r="R11" s="2">
        <v>94.8</v>
      </c>
      <c r="S11" s="2">
        <v>81.599999999999994</v>
      </c>
      <c r="T11" s="2">
        <v>27.9</v>
      </c>
      <c r="U11" s="2">
        <v>126.4</v>
      </c>
      <c r="V11" s="2">
        <v>45.8</v>
      </c>
      <c r="W11" s="2">
        <v>14.8</v>
      </c>
      <c r="X11" s="2">
        <v>181.5</v>
      </c>
      <c r="Y11" s="2">
        <v>22.3</v>
      </c>
      <c r="Z11" s="2">
        <v>44</v>
      </c>
      <c r="AA11" s="2">
        <v>31.9</v>
      </c>
    </row>
    <row r="12" spans="1:27" x14ac:dyDescent="0.25">
      <c r="A12">
        <v>2002</v>
      </c>
      <c r="B12" s="6">
        <v>1.1000000000000001</v>
      </c>
      <c r="C12" s="6">
        <v>6.1</v>
      </c>
      <c r="D12" s="6">
        <v>8.3000000000000007</v>
      </c>
      <c r="E12" s="6">
        <v>10.3</v>
      </c>
      <c r="F12" s="6">
        <v>17.899999999999999</v>
      </c>
      <c r="G12" s="6">
        <v>21</v>
      </c>
      <c r="H12" s="6">
        <v>21.9</v>
      </c>
      <c r="I12" s="6">
        <v>20.2</v>
      </c>
      <c r="J12" s="6">
        <v>14.6</v>
      </c>
      <c r="K12" s="6">
        <v>11.1</v>
      </c>
      <c r="L12" s="6">
        <v>9.5</v>
      </c>
      <c r="M12" s="6">
        <v>1.4</v>
      </c>
      <c r="O12">
        <v>2002</v>
      </c>
      <c r="P12" s="2">
        <v>10</v>
      </c>
      <c r="Q12" s="2">
        <v>28</v>
      </c>
      <c r="R12" s="2">
        <v>34</v>
      </c>
      <c r="S12" s="2">
        <v>121</v>
      </c>
      <c r="T12" s="2">
        <v>40</v>
      </c>
      <c r="U12" s="2">
        <v>60</v>
      </c>
      <c r="V12" s="2">
        <v>70</v>
      </c>
      <c r="W12" s="2">
        <v>101</v>
      </c>
      <c r="X12" s="2">
        <v>85</v>
      </c>
      <c r="Y12" s="2">
        <v>98</v>
      </c>
      <c r="Z12" s="2">
        <v>36</v>
      </c>
      <c r="AA12" s="2">
        <v>44</v>
      </c>
    </row>
    <row r="13" spans="1:27" x14ac:dyDescent="0.25">
      <c r="A13">
        <v>2003</v>
      </c>
      <c r="B13" s="6">
        <v>-2.4</v>
      </c>
      <c r="C13" s="6">
        <v>-3.8</v>
      </c>
      <c r="D13" s="6">
        <v>6.5</v>
      </c>
      <c r="E13" s="6">
        <v>10.3</v>
      </c>
      <c r="F13" s="6">
        <v>18.7</v>
      </c>
      <c r="G13" s="6">
        <v>23.8</v>
      </c>
      <c r="H13" s="6">
        <v>22.5</v>
      </c>
      <c r="I13" s="6">
        <v>24.5</v>
      </c>
      <c r="J13" s="6">
        <v>15.1</v>
      </c>
      <c r="K13" s="6">
        <v>8.9</v>
      </c>
      <c r="L13" s="6">
        <v>7.9</v>
      </c>
      <c r="M13" s="6">
        <v>1.6</v>
      </c>
      <c r="O13">
        <v>2003</v>
      </c>
      <c r="P13" s="2">
        <v>38</v>
      </c>
      <c r="Q13" s="2">
        <v>37.299999999999997</v>
      </c>
      <c r="R13" s="2">
        <v>2.1</v>
      </c>
      <c r="S13" s="2">
        <v>23.7</v>
      </c>
      <c r="T13" s="2">
        <v>23.8</v>
      </c>
      <c r="U13" s="2">
        <v>32.1</v>
      </c>
      <c r="V13" s="2">
        <v>54.3</v>
      </c>
      <c r="W13" s="2">
        <v>24.3</v>
      </c>
      <c r="X13" s="2">
        <v>131.5</v>
      </c>
      <c r="Y13" s="2">
        <v>112.2</v>
      </c>
      <c r="Z13" s="2">
        <v>50.9</v>
      </c>
      <c r="AA13" s="2">
        <v>29.5</v>
      </c>
    </row>
    <row r="14" spans="1:27" x14ac:dyDescent="0.25">
      <c r="A14">
        <v>2004</v>
      </c>
      <c r="B14" s="7">
        <v>-0.6</v>
      </c>
      <c r="C14" s="7">
        <v>2.5</v>
      </c>
      <c r="D14" s="7">
        <v>4.8</v>
      </c>
      <c r="E14" s="7">
        <v>11</v>
      </c>
      <c r="F14" s="7">
        <v>14.1</v>
      </c>
      <c r="G14" s="7">
        <v>18.399999999999999</v>
      </c>
      <c r="H14" s="7">
        <v>20.3</v>
      </c>
      <c r="I14" s="7">
        <v>20.5</v>
      </c>
      <c r="J14" s="7">
        <v>15.4</v>
      </c>
      <c r="K14" s="7">
        <v>12.8</v>
      </c>
      <c r="L14" s="7">
        <v>6</v>
      </c>
      <c r="M14" s="7">
        <v>1.2</v>
      </c>
      <c r="O14">
        <v>2004</v>
      </c>
      <c r="P14" s="2">
        <v>42.6</v>
      </c>
      <c r="Q14" s="2">
        <v>38.1</v>
      </c>
      <c r="R14" s="2">
        <v>85.2</v>
      </c>
      <c r="S14" s="2">
        <v>121.3</v>
      </c>
      <c r="T14" s="2">
        <v>35.9</v>
      </c>
      <c r="U14" s="2">
        <v>145.9</v>
      </c>
      <c r="V14" s="2">
        <v>32.200000000000003</v>
      </c>
      <c r="W14" s="2">
        <v>67.2</v>
      </c>
      <c r="X14" s="2">
        <v>68.7</v>
      </c>
      <c r="Y14" s="2">
        <v>182</v>
      </c>
      <c r="Z14" s="2">
        <v>47.4</v>
      </c>
      <c r="AA14" s="2">
        <v>33</v>
      </c>
    </row>
    <row r="15" spans="1:27" x14ac:dyDescent="0.25">
      <c r="A15">
        <v>2005</v>
      </c>
      <c r="B15" s="7">
        <v>0.1</v>
      </c>
      <c r="C15" s="7">
        <v>-2.2000000000000002</v>
      </c>
      <c r="D15" s="7">
        <v>4.4000000000000004</v>
      </c>
      <c r="E15" s="7">
        <v>11.2</v>
      </c>
      <c r="F15" s="7">
        <v>16.3</v>
      </c>
      <c r="G15" s="7">
        <v>19.3</v>
      </c>
      <c r="H15" s="7">
        <v>20.7</v>
      </c>
      <c r="I15" s="7">
        <v>18.600000000000001</v>
      </c>
      <c r="J15" s="7">
        <v>16.2</v>
      </c>
      <c r="K15" s="7">
        <v>10.9</v>
      </c>
      <c r="L15" s="7">
        <v>4.3</v>
      </c>
      <c r="M15" s="7">
        <v>0.9</v>
      </c>
      <c r="O15">
        <v>2005</v>
      </c>
      <c r="P15" s="2">
        <v>14.3</v>
      </c>
      <c r="Q15" s="2">
        <v>43.3</v>
      </c>
      <c r="R15" s="2">
        <v>53.1</v>
      </c>
      <c r="S15" s="2">
        <v>98</v>
      </c>
      <c r="T15" s="2">
        <v>59.9</v>
      </c>
      <c r="U15" s="2">
        <v>46.9</v>
      </c>
      <c r="V15" s="2">
        <v>183.7</v>
      </c>
      <c r="W15" s="2">
        <v>139.9</v>
      </c>
      <c r="X15" s="2">
        <v>92.1</v>
      </c>
      <c r="Y15" s="2">
        <v>3.8</v>
      </c>
      <c r="Z15" s="2">
        <v>67.900000000000006</v>
      </c>
      <c r="AA15" s="2">
        <v>88</v>
      </c>
    </row>
    <row r="16" spans="1:27" x14ac:dyDescent="0.25">
      <c r="A16">
        <v>2006</v>
      </c>
      <c r="B16" s="7">
        <v>-3.5</v>
      </c>
      <c r="C16" s="7">
        <v>0.5</v>
      </c>
      <c r="D16" s="7">
        <v>4.8</v>
      </c>
      <c r="E16" s="7">
        <v>11.9</v>
      </c>
      <c r="F16" s="7">
        <v>15.4</v>
      </c>
      <c r="G16" s="7">
        <v>19.7</v>
      </c>
      <c r="H16" s="7">
        <v>22.8</v>
      </c>
      <c r="I16" s="7">
        <v>18.3</v>
      </c>
      <c r="J16" s="7">
        <v>16.899999999999999</v>
      </c>
      <c r="K16" s="7">
        <v>12.9</v>
      </c>
      <c r="L16" s="7">
        <v>8.3000000000000007</v>
      </c>
      <c r="M16" s="7">
        <v>3.5</v>
      </c>
      <c r="O16">
        <v>2006</v>
      </c>
      <c r="P16" s="2">
        <v>39.6</v>
      </c>
      <c r="Q16" s="2">
        <v>34.299999999999997</v>
      </c>
      <c r="R16" s="2">
        <v>40.5</v>
      </c>
      <c r="S16" s="2">
        <v>99</v>
      </c>
      <c r="T16" s="2">
        <v>132.6</v>
      </c>
      <c r="U16" s="2">
        <v>63.7</v>
      </c>
      <c r="V16" s="2">
        <v>48</v>
      </c>
      <c r="W16" s="2">
        <v>130.80000000000001</v>
      </c>
      <c r="X16" s="2">
        <v>70.3</v>
      </c>
      <c r="Y16" s="2">
        <v>35</v>
      </c>
      <c r="Z16" s="2">
        <v>41.7</v>
      </c>
      <c r="AA16" s="2">
        <v>26.7</v>
      </c>
    </row>
    <row r="17" spans="1:27" x14ac:dyDescent="0.25">
      <c r="A17">
        <v>2007</v>
      </c>
      <c r="B17" s="7">
        <v>5.8</v>
      </c>
      <c r="C17" s="7">
        <v>6.1</v>
      </c>
      <c r="D17" s="7">
        <v>7.6</v>
      </c>
      <c r="E17" s="7">
        <v>13.1</v>
      </c>
      <c r="F17" s="7">
        <v>17.5</v>
      </c>
      <c r="G17" s="7">
        <v>21.6</v>
      </c>
      <c r="H17" s="7">
        <v>22.4</v>
      </c>
      <c r="I17" s="7">
        <v>20.5</v>
      </c>
      <c r="J17" s="7">
        <v>13.8</v>
      </c>
      <c r="K17" s="7">
        <v>9.3000000000000007</v>
      </c>
      <c r="L17" s="7">
        <v>4.7</v>
      </c>
      <c r="M17" s="7">
        <v>0.3</v>
      </c>
      <c r="O17">
        <v>2007</v>
      </c>
      <c r="P17" s="2">
        <v>40.200000000000003</v>
      </c>
      <c r="Q17" s="2">
        <v>58.8</v>
      </c>
      <c r="R17" s="2">
        <v>100.6</v>
      </c>
      <c r="S17" s="2">
        <v>4.9000000000000004</v>
      </c>
      <c r="T17" s="2">
        <v>74.5</v>
      </c>
      <c r="U17" s="2">
        <v>50.9</v>
      </c>
      <c r="V17" s="2">
        <v>105.5</v>
      </c>
      <c r="W17" s="2">
        <v>98</v>
      </c>
      <c r="X17" s="2">
        <v>180.9</v>
      </c>
      <c r="Y17" s="2">
        <v>96.9</v>
      </c>
      <c r="Z17" s="2">
        <v>43.2</v>
      </c>
      <c r="AA17" s="2">
        <v>49.5</v>
      </c>
    </row>
    <row r="18" spans="1:27" x14ac:dyDescent="0.25">
      <c r="A18">
        <v>2008</v>
      </c>
      <c r="B18" s="7">
        <v>2.7</v>
      </c>
      <c r="C18" s="7">
        <v>4.8</v>
      </c>
      <c r="D18" s="7">
        <v>6.9</v>
      </c>
      <c r="E18" s="7">
        <v>11.6</v>
      </c>
      <c r="F18" s="7">
        <v>17.100000000000001</v>
      </c>
      <c r="G18" s="7">
        <v>20.399999999999999</v>
      </c>
      <c r="H18" s="7">
        <v>21.1</v>
      </c>
      <c r="I18" s="7">
        <v>20.6</v>
      </c>
      <c r="J18" s="7">
        <v>15.1</v>
      </c>
      <c r="K18" s="7">
        <v>11.8</v>
      </c>
      <c r="L18" s="7">
        <v>6.8</v>
      </c>
      <c r="M18" s="7">
        <v>2.8</v>
      </c>
      <c r="O18">
        <v>2008</v>
      </c>
      <c r="P18" s="2">
        <v>6</v>
      </c>
      <c r="Q18" s="2">
        <v>8</v>
      </c>
      <c r="R18" s="2">
        <v>86.6</v>
      </c>
      <c r="S18" s="2">
        <v>29.4</v>
      </c>
      <c r="T18" s="2">
        <v>29.4</v>
      </c>
      <c r="U18" s="2">
        <v>141.5</v>
      </c>
      <c r="V18" s="2">
        <v>107</v>
      </c>
      <c r="W18" s="2">
        <v>54.2</v>
      </c>
      <c r="X18" s="2">
        <v>73.900000000000006</v>
      </c>
      <c r="Y18" s="2">
        <v>66.400000000000006</v>
      </c>
      <c r="Z18" s="2">
        <v>37.799999999999997</v>
      </c>
      <c r="AA18" s="2">
        <v>82.9</v>
      </c>
    </row>
    <row r="19" spans="1:27" x14ac:dyDescent="0.25">
      <c r="A19">
        <v>2009</v>
      </c>
      <c r="B19" s="7">
        <v>-1.3</v>
      </c>
      <c r="C19" s="7">
        <v>2.4</v>
      </c>
      <c r="D19" s="7">
        <v>6.8</v>
      </c>
      <c r="E19" s="7">
        <v>14</v>
      </c>
      <c r="F19" s="7">
        <v>17.2</v>
      </c>
      <c r="G19" s="7">
        <v>18.7</v>
      </c>
      <c r="H19" s="7">
        <v>21.3</v>
      </c>
      <c r="I19" s="7">
        <v>20.7</v>
      </c>
      <c r="J19" s="7">
        <v>16.899999999999999</v>
      </c>
      <c r="K19" s="7">
        <v>10.8</v>
      </c>
      <c r="L19" s="7">
        <v>7.7</v>
      </c>
      <c r="M19" s="7">
        <v>2.6</v>
      </c>
      <c r="O19">
        <v>2009</v>
      </c>
      <c r="P19" s="2">
        <v>105.3</v>
      </c>
      <c r="Q19" s="2">
        <v>49</v>
      </c>
      <c r="R19" s="2">
        <v>59.3</v>
      </c>
      <c r="S19" s="2">
        <v>35.200000000000003</v>
      </c>
      <c r="T19" s="2">
        <v>74.400000000000006</v>
      </c>
      <c r="U19" s="2">
        <v>101.5</v>
      </c>
      <c r="V19" s="2">
        <v>94.9</v>
      </c>
      <c r="W19" s="2">
        <v>64.3</v>
      </c>
      <c r="X19" s="2">
        <v>25.6</v>
      </c>
      <c r="Y19" s="2">
        <v>40</v>
      </c>
      <c r="Z19" s="2">
        <v>75.099999999999994</v>
      </c>
      <c r="AA19" s="2">
        <v>79.400000000000006</v>
      </c>
    </row>
    <row r="20" spans="1:27" x14ac:dyDescent="0.25">
      <c r="A20">
        <v>2010</v>
      </c>
      <c r="B20" s="7">
        <v>-1.7</v>
      </c>
      <c r="C20" s="7">
        <v>1.6</v>
      </c>
      <c r="D20" s="7">
        <v>6.1</v>
      </c>
      <c r="E20" s="7">
        <v>11.2</v>
      </c>
      <c r="F20" s="7">
        <v>15.7</v>
      </c>
      <c r="G20" s="7">
        <v>19.5</v>
      </c>
      <c r="H20" s="7">
        <v>22.1</v>
      </c>
      <c r="I20" s="7">
        <v>19.7</v>
      </c>
      <c r="J20" s="7">
        <v>14</v>
      </c>
      <c r="K20" s="7">
        <v>8.1</v>
      </c>
      <c r="L20" s="7">
        <v>8.1</v>
      </c>
      <c r="M20" s="7">
        <v>-0.2</v>
      </c>
      <c r="O20">
        <v>2010</v>
      </c>
      <c r="P20" s="2">
        <v>72.7</v>
      </c>
      <c r="Q20" s="2">
        <v>66.8</v>
      </c>
      <c r="R20" s="2">
        <v>40.799999999999997</v>
      </c>
      <c r="S20" s="2">
        <v>71.3</v>
      </c>
      <c r="T20" s="2">
        <v>106.9</v>
      </c>
      <c r="U20" s="2">
        <v>131.69999999999999</v>
      </c>
      <c r="V20" s="2">
        <v>67.7</v>
      </c>
      <c r="W20" s="2">
        <v>211.7</v>
      </c>
      <c r="X20" s="2">
        <v>186.1</v>
      </c>
      <c r="Y20" s="2">
        <v>61.4</v>
      </c>
      <c r="Z20" s="2">
        <v>115.8</v>
      </c>
      <c r="AA20" s="2">
        <v>67.400000000000006</v>
      </c>
    </row>
    <row r="21" spans="1:27" x14ac:dyDescent="0.25">
      <c r="A21">
        <v>2011</v>
      </c>
      <c r="B21" s="7">
        <v>1.5</v>
      </c>
      <c r="C21" s="7">
        <v>0.4</v>
      </c>
      <c r="D21" s="7">
        <v>6.4</v>
      </c>
      <c r="E21" s="7">
        <v>12.7</v>
      </c>
      <c r="F21" s="7">
        <v>16.2</v>
      </c>
      <c r="G21" s="7">
        <v>20.5</v>
      </c>
      <c r="H21" s="7">
        <v>21</v>
      </c>
      <c r="I21" s="7">
        <v>21.5</v>
      </c>
      <c r="J21" s="7">
        <v>18.399999999999999</v>
      </c>
      <c r="K21" s="7">
        <v>9.6</v>
      </c>
      <c r="L21" s="7">
        <v>2.4</v>
      </c>
      <c r="M21" s="7">
        <v>3.5</v>
      </c>
      <c r="O21">
        <v>2011</v>
      </c>
      <c r="P21" s="2">
        <v>10.5</v>
      </c>
      <c r="Q21" s="2">
        <v>11.9</v>
      </c>
      <c r="R21" s="2">
        <v>15.3</v>
      </c>
      <c r="S21" s="2">
        <v>29.4</v>
      </c>
      <c r="T21" s="2">
        <v>41.1</v>
      </c>
      <c r="U21" s="2">
        <v>48.6</v>
      </c>
      <c r="V21" s="2">
        <v>101.6</v>
      </c>
      <c r="W21" s="2">
        <v>24.7</v>
      </c>
      <c r="X21" s="2">
        <v>36</v>
      </c>
      <c r="Y21" s="2">
        <v>83.7</v>
      </c>
      <c r="Z21" s="2">
        <v>0.6</v>
      </c>
      <c r="AA21" s="2">
        <v>77.8</v>
      </c>
    </row>
    <row r="22" spans="1:27" x14ac:dyDescent="0.25">
      <c r="A22">
        <v>2012</v>
      </c>
      <c r="B22" s="7">
        <v>2</v>
      </c>
      <c r="C22" s="7">
        <v>-2.4</v>
      </c>
      <c r="D22" s="7">
        <v>8.5</v>
      </c>
      <c r="E22" s="7">
        <v>12.2</v>
      </c>
      <c r="F22" s="7">
        <v>16.3</v>
      </c>
      <c r="G22" s="7">
        <v>21.4</v>
      </c>
      <c r="H22" s="7">
        <v>22.5</v>
      </c>
      <c r="I22" s="7">
        <v>22</v>
      </c>
      <c r="J22" s="7">
        <v>17.2</v>
      </c>
      <c r="K22" s="7">
        <v>11.2</v>
      </c>
      <c r="L22" s="7">
        <v>8.6</v>
      </c>
      <c r="M22" s="7">
        <v>1.2</v>
      </c>
      <c r="O22">
        <v>2012</v>
      </c>
      <c r="P22" s="2">
        <v>22.2</v>
      </c>
      <c r="Q22" s="2">
        <v>20.6</v>
      </c>
      <c r="R22" s="2">
        <v>1.4</v>
      </c>
      <c r="S22" s="2">
        <v>41.8</v>
      </c>
      <c r="T22" s="2">
        <v>127.6</v>
      </c>
      <c r="U22" s="2">
        <v>80.400000000000006</v>
      </c>
      <c r="V22" s="2">
        <v>81.099999999999994</v>
      </c>
      <c r="W22" s="2">
        <v>9.8000000000000007</v>
      </c>
      <c r="X22" s="2">
        <v>94.5</v>
      </c>
      <c r="Y22" s="2">
        <v>108.9</v>
      </c>
      <c r="Z22" s="2">
        <v>108.1</v>
      </c>
      <c r="AA22" s="2">
        <v>54.2</v>
      </c>
    </row>
    <row r="23" spans="1:27" x14ac:dyDescent="0.25">
      <c r="A23">
        <v>2013</v>
      </c>
      <c r="B23" s="7">
        <v>0.8</v>
      </c>
      <c r="C23" s="7">
        <v>0.9</v>
      </c>
      <c r="D23" s="7">
        <v>3.5</v>
      </c>
      <c r="E23" s="7">
        <v>12.2</v>
      </c>
      <c r="F23" s="7">
        <v>15.7</v>
      </c>
      <c r="G23" s="7">
        <v>19.399999999999999</v>
      </c>
      <c r="H23" s="7">
        <v>22.4</v>
      </c>
      <c r="I23" s="7">
        <v>21.1</v>
      </c>
      <c r="J23" s="7">
        <v>15.1</v>
      </c>
      <c r="K23" s="7">
        <v>13.1</v>
      </c>
      <c r="L23" s="7">
        <v>6.9</v>
      </c>
      <c r="M23" s="7">
        <v>2.6</v>
      </c>
      <c r="O23">
        <v>2013</v>
      </c>
      <c r="P23" s="2">
        <v>121.7</v>
      </c>
      <c r="Q23" s="2">
        <v>128.19999999999999</v>
      </c>
      <c r="R23" s="2">
        <v>113.4</v>
      </c>
      <c r="S23" s="2">
        <v>62</v>
      </c>
      <c r="T23" s="2">
        <v>95.5</v>
      </c>
      <c r="U23" s="2">
        <v>60.4</v>
      </c>
      <c r="V23" s="2">
        <v>33.9</v>
      </c>
      <c r="W23" s="2">
        <v>103.2</v>
      </c>
      <c r="X23" s="2">
        <v>139.4</v>
      </c>
      <c r="Y23" s="2">
        <v>22</v>
      </c>
      <c r="Z23" s="2">
        <v>214.8</v>
      </c>
      <c r="AA23" s="2">
        <v>7.4</v>
      </c>
    </row>
    <row r="24" spans="1:27" x14ac:dyDescent="0.25">
      <c r="A24">
        <v>2014</v>
      </c>
      <c r="B24" s="7">
        <v>4.3</v>
      </c>
      <c r="C24" s="7">
        <v>4.9000000000000004</v>
      </c>
      <c r="D24" s="7">
        <v>9.3000000000000007</v>
      </c>
      <c r="E24" s="7">
        <v>12.7</v>
      </c>
      <c r="F24" s="7">
        <v>15</v>
      </c>
      <c r="G24" s="7">
        <v>19.3</v>
      </c>
      <c r="H24" s="7">
        <v>21.1</v>
      </c>
      <c r="I24" s="7">
        <v>19.2</v>
      </c>
      <c r="J24" s="7">
        <v>15.8</v>
      </c>
      <c r="K24" s="7">
        <v>13.3</v>
      </c>
      <c r="L24" s="7">
        <v>8.6</v>
      </c>
      <c r="M24" s="7">
        <v>3.8</v>
      </c>
      <c r="O24">
        <v>2014</v>
      </c>
      <c r="P24" s="2">
        <v>48.5</v>
      </c>
      <c r="Q24" s="2">
        <v>138.6</v>
      </c>
      <c r="R24" s="2">
        <v>10.1</v>
      </c>
      <c r="S24" s="2">
        <v>105.3</v>
      </c>
      <c r="T24" s="2">
        <v>108.5</v>
      </c>
      <c r="U24" s="2">
        <v>117.9</v>
      </c>
      <c r="V24" s="2">
        <v>133.5</v>
      </c>
      <c r="W24" s="2">
        <v>153.1</v>
      </c>
      <c r="X24" s="2">
        <v>290.7</v>
      </c>
      <c r="Y24" s="2">
        <v>96.7</v>
      </c>
      <c r="Z24" s="2">
        <v>46.5</v>
      </c>
      <c r="AA24" s="2">
        <v>62.8</v>
      </c>
    </row>
    <row r="25" spans="1:27" x14ac:dyDescent="0.25">
      <c r="A25">
        <v>2015</v>
      </c>
      <c r="B25" s="7">
        <v>3.2</v>
      </c>
      <c r="C25" s="7">
        <v>1.7</v>
      </c>
      <c r="D25" s="7">
        <v>6.8</v>
      </c>
      <c r="E25" s="7">
        <v>11.4</v>
      </c>
      <c r="F25" s="7">
        <v>16.399999999999999</v>
      </c>
      <c r="G25" s="7">
        <v>19.8</v>
      </c>
      <c r="H25" s="7">
        <v>23</v>
      </c>
      <c r="I25" s="7">
        <v>21.9</v>
      </c>
      <c r="J25" s="7">
        <v>16.399999999999999</v>
      </c>
      <c r="K25" s="7">
        <v>10.199999999999999</v>
      </c>
      <c r="L25" s="7">
        <v>7.3</v>
      </c>
      <c r="M25" s="7">
        <v>2.2000000000000002</v>
      </c>
      <c r="O25">
        <v>2015</v>
      </c>
      <c r="P25" s="2">
        <v>76.099999999999994</v>
      </c>
      <c r="Q25" s="2">
        <v>95</v>
      </c>
      <c r="R25" s="2">
        <v>15.7</v>
      </c>
      <c r="S25" s="2">
        <v>20.7</v>
      </c>
      <c r="T25" s="2">
        <v>164.6</v>
      </c>
      <c r="U25" s="2">
        <v>78.8</v>
      </c>
      <c r="V25" s="2">
        <v>97.5</v>
      </c>
      <c r="W25" s="2">
        <v>90.3</v>
      </c>
      <c r="X25" s="2">
        <v>102</v>
      </c>
      <c r="Y25" s="2">
        <v>188.4</v>
      </c>
      <c r="Z25" s="2">
        <v>35.1</v>
      </c>
      <c r="AA25" s="2">
        <v>1.2</v>
      </c>
    </row>
    <row r="26" spans="1:27" x14ac:dyDescent="0.25">
      <c r="A26">
        <v>2016</v>
      </c>
      <c r="B26" s="7">
        <v>0.7</v>
      </c>
      <c r="C26" s="7">
        <v>6.5</v>
      </c>
      <c r="D26" s="7">
        <v>7</v>
      </c>
      <c r="E26" s="7">
        <v>12.3</v>
      </c>
      <c r="F26" s="7">
        <v>15.3</v>
      </c>
      <c r="G26" s="7">
        <v>19.8</v>
      </c>
      <c r="H26" s="7">
        <v>22.1</v>
      </c>
      <c r="I26" s="7">
        <v>19.399999999999999</v>
      </c>
      <c r="J26" s="7">
        <v>17.7</v>
      </c>
      <c r="K26" s="7">
        <v>9.6999999999999993</v>
      </c>
      <c r="L26" s="7">
        <v>6.6</v>
      </c>
      <c r="M26" s="7">
        <v>-0.6</v>
      </c>
      <c r="O26">
        <v>2016</v>
      </c>
      <c r="P26" s="2">
        <v>58.2</v>
      </c>
      <c r="Q26" s="2">
        <v>125.3</v>
      </c>
      <c r="R26" s="2">
        <v>68.3</v>
      </c>
      <c r="S26" s="2">
        <v>46.1</v>
      </c>
      <c r="T26" s="2">
        <v>101.3</v>
      </c>
      <c r="U26" s="2">
        <v>106.9</v>
      </c>
      <c r="V26" s="2">
        <v>48.9</v>
      </c>
      <c r="W26" s="2">
        <v>94.6</v>
      </c>
      <c r="X26" s="2">
        <v>34.299999999999997</v>
      </c>
      <c r="Y26" s="2">
        <v>88</v>
      </c>
      <c r="Z26" s="2">
        <v>105.6</v>
      </c>
      <c r="AA26" s="2">
        <v>8.5</v>
      </c>
    </row>
    <row r="27" spans="1:27" x14ac:dyDescent="0.25">
      <c r="A27">
        <v>2017</v>
      </c>
      <c r="B27" s="7">
        <v>-4.8</v>
      </c>
      <c r="C27" s="7">
        <v>4.4000000000000004</v>
      </c>
      <c r="D27" s="7">
        <v>9.1999999999999993</v>
      </c>
      <c r="E27" s="7">
        <v>11.2</v>
      </c>
      <c r="F27" s="7">
        <v>16.600000000000001</v>
      </c>
      <c r="G27" s="7">
        <v>21.7</v>
      </c>
      <c r="H27" s="7">
        <v>22.7</v>
      </c>
      <c r="I27" s="7">
        <v>22.1</v>
      </c>
      <c r="J27" s="7">
        <v>14.4</v>
      </c>
      <c r="K27" s="7">
        <v>11.3</v>
      </c>
      <c r="L27" s="7">
        <v>6.6</v>
      </c>
      <c r="M27" s="7">
        <v>3.5</v>
      </c>
      <c r="O27">
        <v>2017</v>
      </c>
      <c r="P27" s="2">
        <v>32.4</v>
      </c>
      <c r="Q27" s="2">
        <v>56</v>
      </c>
      <c r="R27" s="2">
        <v>20.100000000000001</v>
      </c>
      <c r="S27" s="2">
        <v>32.5</v>
      </c>
      <c r="T27" s="2">
        <v>66.7</v>
      </c>
      <c r="U27" s="2">
        <v>84.5</v>
      </c>
      <c r="V27" s="2">
        <v>54</v>
      </c>
      <c r="W27" s="2">
        <v>42.2</v>
      </c>
      <c r="X27" s="2">
        <v>242.1</v>
      </c>
      <c r="Y27" s="2">
        <v>69</v>
      </c>
      <c r="Z27" s="2">
        <v>104.9</v>
      </c>
      <c r="AA27" s="2">
        <v>88</v>
      </c>
    </row>
    <row r="28" spans="1:27" x14ac:dyDescent="0.25">
      <c r="A28">
        <v>2018</v>
      </c>
      <c r="B28" s="2">
        <v>5</v>
      </c>
      <c r="C28" s="2">
        <v>-1.1000000000000001</v>
      </c>
      <c r="D28" s="2">
        <v>4.0999999999999996</v>
      </c>
      <c r="E28" s="2">
        <v>15.1</v>
      </c>
      <c r="F28" s="2">
        <v>18.2</v>
      </c>
      <c r="G28" s="2">
        <v>20.2</v>
      </c>
      <c r="H28" s="2">
        <v>21.5</v>
      </c>
      <c r="I28" s="2">
        <v>21.9</v>
      </c>
      <c r="J28" s="2">
        <v>16.5</v>
      </c>
      <c r="K28" s="2">
        <v>12.3</v>
      </c>
      <c r="L28" s="2">
        <v>7.2</v>
      </c>
      <c r="M28" s="2">
        <v>2.4</v>
      </c>
      <c r="O28">
        <v>2018</v>
      </c>
      <c r="P28" s="2">
        <v>44.1</v>
      </c>
      <c r="Q28" s="2">
        <v>119.9</v>
      </c>
      <c r="R28" s="2">
        <v>92.6</v>
      </c>
      <c r="S28" s="2">
        <v>72.599999999999994</v>
      </c>
      <c r="T28" s="2">
        <v>91.2</v>
      </c>
      <c r="U28" s="2">
        <v>85.5</v>
      </c>
      <c r="V28" s="2">
        <v>83.2</v>
      </c>
      <c r="W28" s="2">
        <v>93.7</v>
      </c>
      <c r="X28" s="2">
        <v>105</v>
      </c>
      <c r="Y28" s="2">
        <v>32.4</v>
      </c>
      <c r="Z28" s="2">
        <v>68.900000000000006</v>
      </c>
      <c r="AA28" s="2">
        <v>9.6999999999999993</v>
      </c>
    </row>
    <row r="29" spans="1:27" x14ac:dyDescent="0.25">
      <c r="A29">
        <v>2019</v>
      </c>
      <c r="B29" s="2">
        <v>0.9</v>
      </c>
      <c r="C29" s="2">
        <v>4.3</v>
      </c>
      <c r="D29" s="2">
        <v>8.6</v>
      </c>
      <c r="E29" s="2">
        <v>11.3</v>
      </c>
      <c r="F29" s="2">
        <v>13</v>
      </c>
      <c r="G29" s="2">
        <v>22.8</v>
      </c>
      <c r="H29" s="2">
        <v>21.4</v>
      </c>
      <c r="I29" s="2">
        <v>22.1</v>
      </c>
      <c r="J29" s="2">
        <v>16.3</v>
      </c>
      <c r="K29" s="2">
        <v>13</v>
      </c>
      <c r="L29" s="2">
        <v>8.6</v>
      </c>
      <c r="M29" s="2">
        <v>4.5</v>
      </c>
      <c r="O29">
        <v>2019</v>
      </c>
      <c r="P29" s="2">
        <v>31.6</v>
      </c>
      <c r="Q29" s="2">
        <v>26.8</v>
      </c>
      <c r="R29" s="2">
        <v>43.1</v>
      </c>
      <c r="S29" s="2">
        <v>70.8</v>
      </c>
      <c r="T29" s="2">
        <v>209.1</v>
      </c>
      <c r="U29" s="2">
        <v>104.4</v>
      </c>
      <c r="V29" s="2">
        <v>142.5</v>
      </c>
      <c r="W29" s="2">
        <v>93.2</v>
      </c>
      <c r="X29" s="2">
        <v>71.599999999999994</v>
      </c>
      <c r="Y29" s="2">
        <v>32.700000000000003</v>
      </c>
      <c r="Z29" s="2">
        <v>144.4</v>
      </c>
      <c r="AA29" s="2">
        <v>120</v>
      </c>
    </row>
    <row r="30" spans="1:27" x14ac:dyDescent="0.25">
      <c r="A30">
        <v>2020</v>
      </c>
      <c r="B30" s="2">
        <v>1</v>
      </c>
      <c r="C30" s="2">
        <v>7.1</v>
      </c>
      <c r="D30" s="2">
        <v>7</v>
      </c>
      <c r="E30" s="2">
        <v>11.8</v>
      </c>
      <c r="F30" s="2">
        <v>14.8</v>
      </c>
      <c r="G30" s="2">
        <v>19.2</v>
      </c>
      <c r="H30" s="2">
        <v>20.8</v>
      </c>
      <c r="I30" s="2">
        <v>21.8</v>
      </c>
      <c r="J30" s="2">
        <v>16.7</v>
      </c>
      <c r="K30" s="2">
        <v>12.2</v>
      </c>
      <c r="L30" s="2">
        <v>5.3</v>
      </c>
      <c r="M30" s="2">
        <v>2.8</v>
      </c>
      <c r="O30">
        <v>2020</v>
      </c>
      <c r="P30" s="2">
        <v>29</v>
      </c>
      <c r="Q30" s="2">
        <v>25.9</v>
      </c>
      <c r="R30" s="2">
        <v>41.9</v>
      </c>
      <c r="S30" s="2">
        <v>23.2</v>
      </c>
      <c r="T30" s="2">
        <v>49.9</v>
      </c>
      <c r="U30" s="2">
        <v>175.5</v>
      </c>
      <c r="V30" s="2">
        <v>205.2</v>
      </c>
      <c r="W30" s="2">
        <v>125</v>
      </c>
      <c r="X30" s="2">
        <v>117.5</v>
      </c>
      <c r="Y30" s="2">
        <v>154.30000000000001</v>
      </c>
      <c r="Z30" s="2">
        <v>39.700000000000003</v>
      </c>
      <c r="AA30" s="2">
        <v>100.7</v>
      </c>
    </row>
    <row r="31" spans="1:27" x14ac:dyDescent="0.25">
      <c r="A31">
        <v>2021</v>
      </c>
      <c r="B31" s="2">
        <v>2.5</v>
      </c>
      <c r="C31" s="2">
        <v>4.5999999999999996</v>
      </c>
      <c r="D31" s="2">
        <v>5.9</v>
      </c>
      <c r="E31" s="2">
        <v>9</v>
      </c>
      <c r="F31" s="2">
        <v>13.5</v>
      </c>
      <c r="G31" s="2">
        <v>22</v>
      </c>
      <c r="H31" s="2">
        <v>23</v>
      </c>
      <c r="I31" s="2">
        <v>19.8</v>
      </c>
      <c r="J31" s="2">
        <v>16.100000000000001</v>
      </c>
      <c r="K31" s="2">
        <v>9.3000000000000007</v>
      </c>
      <c r="L31" s="2">
        <v>5.7</v>
      </c>
      <c r="M31" s="2">
        <v>2.7</v>
      </c>
      <c r="O31">
        <v>2021</v>
      </c>
      <c r="P31" s="2">
        <v>39.9</v>
      </c>
      <c r="Q31" s="2">
        <v>23</v>
      </c>
      <c r="R31" s="2">
        <v>23.9</v>
      </c>
      <c r="S31" s="2">
        <v>57.9</v>
      </c>
      <c r="T31" s="2">
        <v>165.5</v>
      </c>
      <c r="U31" s="2">
        <v>18.899999999999999</v>
      </c>
      <c r="V31" s="2">
        <v>82.4</v>
      </c>
      <c r="W31" s="2">
        <v>130.19999999999999</v>
      </c>
      <c r="X31" s="2">
        <v>59.2</v>
      </c>
      <c r="Y31" s="2">
        <v>84.5</v>
      </c>
      <c r="Z31" s="2">
        <v>76.8</v>
      </c>
      <c r="AA31" s="2">
        <v>72.3</v>
      </c>
    </row>
    <row r="32" spans="1:27" x14ac:dyDescent="0.25">
      <c r="A32">
        <v>2022</v>
      </c>
      <c r="B32" s="2">
        <v>1.4</v>
      </c>
      <c r="C32" s="2">
        <v>5.0999999999999996</v>
      </c>
      <c r="D32" s="2">
        <v>4.9000000000000004</v>
      </c>
      <c r="E32" s="2">
        <v>9.9</v>
      </c>
      <c r="F32" s="2">
        <v>17.7</v>
      </c>
      <c r="G32" s="2">
        <v>22.1</v>
      </c>
      <c r="H32" s="2">
        <v>22.3</v>
      </c>
      <c r="I32" s="2">
        <v>21.9</v>
      </c>
      <c r="J32" s="2">
        <v>15.7</v>
      </c>
      <c r="K32" s="2">
        <v>13</v>
      </c>
      <c r="L32" s="2">
        <v>6.9</v>
      </c>
      <c r="M32" s="2">
        <v>3.4</v>
      </c>
      <c r="O32">
        <v>2022</v>
      </c>
      <c r="P32" s="2">
        <v>15</v>
      </c>
      <c r="Q32" s="2">
        <v>22.3</v>
      </c>
      <c r="R32" s="2">
        <v>6.2</v>
      </c>
      <c r="S32" s="2">
        <v>109.3</v>
      </c>
      <c r="T32" s="2">
        <v>49.9</v>
      </c>
      <c r="U32" s="2">
        <v>77.3</v>
      </c>
      <c r="V32" s="2">
        <v>51.1</v>
      </c>
      <c r="W32" s="2">
        <v>87.3</v>
      </c>
      <c r="X32" s="2">
        <v>211.9</v>
      </c>
      <c r="Y32" s="2">
        <v>17.3</v>
      </c>
      <c r="Z32" s="2">
        <v>80.400000000000006</v>
      </c>
      <c r="AA32" s="2">
        <v>99.1</v>
      </c>
    </row>
    <row r="33" spans="1:27" x14ac:dyDescent="0.25">
      <c r="A33">
        <v>2023</v>
      </c>
      <c r="B33" s="2">
        <v>4.4000000000000004</v>
      </c>
      <c r="C33" s="2">
        <v>3.2</v>
      </c>
      <c r="D33" s="2">
        <v>8.1</v>
      </c>
      <c r="E33" s="2">
        <v>9.6</v>
      </c>
      <c r="F33" s="2">
        <v>15</v>
      </c>
      <c r="G33" s="2">
        <v>20.2</v>
      </c>
      <c r="H33" s="2">
        <v>22.4</v>
      </c>
      <c r="I33" s="2">
        <v>21</v>
      </c>
      <c r="J33" s="2">
        <v>18.399999999999999</v>
      </c>
      <c r="K33" s="2">
        <v>15.1</v>
      </c>
      <c r="L33" s="2">
        <v>7.2</v>
      </c>
      <c r="M33" s="2">
        <v>4.0999999999999996</v>
      </c>
      <c r="O33">
        <v>2023</v>
      </c>
      <c r="P33" s="2">
        <v>175</v>
      </c>
      <c r="Q33" s="2">
        <v>30.2</v>
      </c>
      <c r="R33" s="2">
        <v>76.5</v>
      </c>
      <c r="S33" s="2">
        <v>90.4</v>
      </c>
      <c r="T33" s="2">
        <v>127</v>
      </c>
      <c r="U33" s="2">
        <v>125.5</v>
      </c>
      <c r="V33" s="2">
        <v>153.4</v>
      </c>
      <c r="W33" s="2">
        <v>72.7</v>
      </c>
      <c r="X33" s="2">
        <v>48.7</v>
      </c>
      <c r="Y33" s="2">
        <v>47.8</v>
      </c>
      <c r="Z33" s="2">
        <v>110.2</v>
      </c>
      <c r="AA33" s="2">
        <v>78.3</v>
      </c>
    </row>
    <row r="34" spans="1:27" x14ac:dyDescent="0.25">
      <c r="A34">
        <v>2024</v>
      </c>
      <c r="B34">
        <v>1.4</v>
      </c>
      <c r="C34">
        <v>8.5</v>
      </c>
      <c r="D34">
        <v>9.9</v>
      </c>
      <c r="E34">
        <v>13.1</v>
      </c>
      <c r="F34">
        <v>17</v>
      </c>
      <c r="G34">
        <v>21.6</v>
      </c>
      <c r="H34">
        <v>23.6</v>
      </c>
      <c r="I34">
        <v>24.1</v>
      </c>
      <c r="J34">
        <v>16.8</v>
      </c>
      <c r="K34">
        <v>12.9</v>
      </c>
      <c r="L34">
        <v>4.5999999999999996</v>
      </c>
      <c r="M34">
        <v>2.4</v>
      </c>
      <c r="O34">
        <v>2024</v>
      </c>
      <c r="P34">
        <v>65.400000000000006</v>
      </c>
      <c r="Q34">
        <v>20.9</v>
      </c>
      <c r="R34">
        <v>101.8</v>
      </c>
      <c r="S34">
        <v>70</v>
      </c>
      <c r="T34">
        <v>134.6</v>
      </c>
      <c r="U34">
        <v>83</v>
      </c>
      <c r="V34">
        <v>52.3</v>
      </c>
      <c r="W34">
        <v>44</v>
      </c>
      <c r="X34">
        <v>188.2</v>
      </c>
      <c r="Y34">
        <v>90.8</v>
      </c>
      <c r="Z34">
        <v>55.8</v>
      </c>
      <c r="AA34">
        <v>21.1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D6D5-2782-4788-A499-C91CCE17315A}">
  <dimension ref="A1:AA40"/>
  <sheetViews>
    <sheetView topLeftCell="A9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2"/>
      <c r="Q1" s="2"/>
      <c r="R1" s="1" t="s">
        <v>52</v>
      </c>
    </row>
    <row r="2" spans="1:27" s="31" customFormat="1" x14ac:dyDescent="0.25">
      <c r="A2" s="30" t="s">
        <v>53</v>
      </c>
      <c r="B2" s="4">
        <f>AVERAGE(B5:B46)</f>
        <v>7.8633333333333333</v>
      </c>
      <c r="C2" s="4">
        <f t="shared" ref="C2:L2" si="0">AVERAGE(C5:C46)</f>
        <v>8.3166666666666682</v>
      </c>
      <c r="D2" s="4">
        <f t="shared" si="0"/>
        <v>10.530000000000001</v>
      </c>
      <c r="E2" s="4">
        <f t="shared" si="0"/>
        <v>13.919999999999998</v>
      </c>
      <c r="F2" s="4">
        <f t="shared" si="0"/>
        <v>18.516666666666666</v>
      </c>
      <c r="G2" s="4">
        <f t="shared" si="0"/>
        <v>22.980000000000004</v>
      </c>
      <c r="H2" s="4">
        <f t="shared" si="0"/>
        <v>25.423333333333332</v>
      </c>
      <c r="I2" s="4">
        <f t="shared" si="0"/>
        <v>25.009999999999998</v>
      </c>
      <c r="J2" s="4">
        <f t="shared" si="0"/>
        <v>20.643333333333331</v>
      </c>
      <c r="K2" s="4">
        <f t="shared" si="0"/>
        <v>16.806666666666661</v>
      </c>
      <c r="L2" s="4">
        <f t="shared" si="0"/>
        <v>12.729999999999999</v>
      </c>
      <c r="M2" s="4">
        <f>AVERAGE(M5:M46)</f>
        <v>9.2366666666666664</v>
      </c>
      <c r="O2" s="30"/>
      <c r="P2" s="4">
        <f>AVERAGE(P5:P46)</f>
        <v>79.243333333333325</v>
      </c>
      <c r="Q2" s="4">
        <f t="shared" ref="Q2:Z2" si="1">AVERAGE(Q5:Q46)</f>
        <v>66.66</v>
      </c>
      <c r="R2" s="4">
        <f t="shared" si="1"/>
        <v>61.943333333333342</v>
      </c>
      <c r="S2" s="4">
        <f t="shared" si="1"/>
        <v>60.419999999999987</v>
      </c>
      <c r="T2" s="4">
        <f t="shared" si="1"/>
        <v>71.220000000000013</v>
      </c>
      <c r="U2" s="4">
        <f t="shared" si="1"/>
        <v>44.506666666666668</v>
      </c>
      <c r="V2" s="4">
        <f t="shared" si="1"/>
        <v>35.22</v>
      </c>
      <c r="W2" s="4">
        <f t="shared" si="1"/>
        <v>45.493333333333332</v>
      </c>
      <c r="X2" s="4">
        <f t="shared" si="1"/>
        <v>126.82666666666667</v>
      </c>
      <c r="Y2" s="4">
        <f t="shared" si="1"/>
        <v>92.256666666666675</v>
      </c>
      <c r="Z2" s="4">
        <f t="shared" si="1"/>
        <v>125.25333333333334</v>
      </c>
      <c r="AA2" s="4">
        <f>AVERAGE(AA5:AA46)</f>
        <v>108.40666666666668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s="2" t="s">
        <v>15</v>
      </c>
      <c r="Q4" s="2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6.5</v>
      </c>
      <c r="C5" s="2">
        <v>9.4</v>
      </c>
      <c r="D5" s="2">
        <v>8.9</v>
      </c>
      <c r="E5" s="2">
        <v>12</v>
      </c>
      <c r="F5" s="2">
        <v>16.7</v>
      </c>
      <c r="G5" s="2">
        <v>20.3</v>
      </c>
      <c r="H5" s="2">
        <v>25.3</v>
      </c>
      <c r="I5" s="2">
        <v>23.3</v>
      </c>
      <c r="J5" s="2">
        <v>19.100000000000001</v>
      </c>
      <c r="K5" s="2">
        <v>17.5</v>
      </c>
      <c r="L5" s="2">
        <v>11</v>
      </c>
      <c r="M5" s="2">
        <v>9.1</v>
      </c>
      <c r="O5">
        <v>1995</v>
      </c>
      <c r="P5" s="2">
        <v>65.7</v>
      </c>
      <c r="Q5" s="2">
        <v>77.2</v>
      </c>
      <c r="R5" s="2">
        <v>73.599999999999994</v>
      </c>
      <c r="S5" s="2">
        <v>32.4</v>
      </c>
      <c r="T5" s="2">
        <v>94.3</v>
      </c>
      <c r="U5" s="2">
        <v>159.6</v>
      </c>
      <c r="V5" s="2">
        <v>2.8</v>
      </c>
      <c r="W5" s="2">
        <v>76.400000000000006</v>
      </c>
      <c r="X5" s="2">
        <v>213.4</v>
      </c>
      <c r="Y5" s="2">
        <v>26.6</v>
      </c>
      <c r="Z5" s="2">
        <v>78.2</v>
      </c>
      <c r="AA5" s="2">
        <v>182.4</v>
      </c>
    </row>
    <row r="6" spans="1:27" x14ac:dyDescent="0.25">
      <c r="A6">
        <v>1996</v>
      </c>
      <c r="B6" s="2">
        <v>8.1</v>
      </c>
      <c r="C6" s="2">
        <v>5.8</v>
      </c>
      <c r="D6" s="2">
        <v>8.1</v>
      </c>
      <c r="E6" s="2">
        <v>13.5</v>
      </c>
      <c r="F6" s="2">
        <v>18.2</v>
      </c>
      <c r="G6" s="2">
        <v>22.4</v>
      </c>
      <c r="H6" s="2">
        <v>23.6</v>
      </c>
      <c r="I6" s="2">
        <v>23.7</v>
      </c>
      <c r="J6" s="2">
        <v>17.5</v>
      </c>
      <c r="K6" s="2">
        <v>15.7</v>
      </c>
      <c r="L6" s="2">
        <v>12.7</v>
      </c>
      <c r="M6" s="2">
        <v>8</v>
      </c>
      <c r="O6">
        <v>1996</v>
      </c>
      <c r="P6" s="2">
        <v>143.5</v>
      </c>
      <c r="Q6" s="2">
        <v>54</v>
      </c>
      <c r="R6" s="2">
        <v>53.4</v>
      </c>
      <c r="S6" s="2">
        <v>35.299999999999997</v>
      </c>
      <c r="T6" s="2">
        <v>82.5</v>
      </c>
      <c r="U6" s="2">
        <v>39.299999999999997</v>
      </c>
      <c r="V6" s="2">
        <v>13.3</v>
      </c>
      <c r="W6" s="2">
        <v>49.2</v>
      </c>
      <c r="X6" s="2">
        <v>200.7</v>
      </c>
      <c r="Y6" s="2">
        <v>98.2</v>
      </c>
      <c r="Z6" s="2">
        <v>129.9</v>
      </c>
      <c r="AA6" s="2">
        <v>150.19999999999999</v>
      </c>
    </row>
    <row r="7" spans="1:27" x14ac:dyDescent="0.25">
      <c r="A7">
        <v>1997</v>
      </c>
      <c r="B7" s="2">
        <v>8.6999999999999993</v>
      </c>
      <c r="C7" s="2">
        <v>8.5</v>
      </c>
      <c r="D7" s="2">
        <v>11.1</v>
      </c>
      <c r="E7" s="2">
        <v>10.6</v>
      </c>
      <c r="F7" s="2">
        <v>17.8</v>
      </c>
      <c r="G7" s="2">
        <v>22</v>
      </c>
      <c r="H7" s="2">
        <v>23.7</v>
      </c>
      <c r="I7" s="2">
        <v>23.7</v>
      </c>
      <c r="J7" s="2">
        <v>20.9</v>
      </c>
      <c r="K7" s="2">
        <v>14.9</v>
      </c>
      <c r="L7" s="2">
        <v>12.3</v>
      </c>
      <c r="M7" s="2">
        <v>9.1999999999999993</v>
      </c>
      <c r="O7">
        <v>1997</v>
      </c>
      <c r="P7" s="2">
        <v>72</v>
      </c>
      <c r="Q7" s="2">
        <v>51.5</v>
      </c>
      <c r="R7" s="2">
        <v>14.2</v>
      </c>
      <c r="S7" s="2">
        <v>105.8</v>
      </c>
      <c r="T7" s="2">
        <v>51.2</v>
      </c>
      <c r="U7" s="2">
        <v>38.6</v>
      </c>
      <c r="V7" s="2">
        <v>43.3</v>
      </c>
      <c r="W7" s="2">
        <v>49.8</v>
      </c>
      <c r="X7" s="2">
        <v>39</v>
      </c>
      <c r="Y7" s="2">
        <v>30.6</v>
      </c>
      <c r="Z7" s="2">
        <v>140.4</v>
      </c>
      <c r="AA7" s="2">
        <v>95</v>
      </c>
    </row>
    <row r="8" spans="1:27" x14ac:dyDescent="0.25">
      <c r="A8">
        <v>1998</v>
      </c>
      <c r="B8" s="2">
        <v>8.5</v>
      </c>
      <c r="C8" s="2">
        <v>9.3000000000000007</v>
      </c>
      <c r="D8" s="2">
        <v>9.4</v>
      </c>
      <c r="E8" s="2">
        <v>13.7</v>
      </c>
      <c r="F8" s="2">
        <v>17.899999999999999</v>
      </c>
      <c r="G8" s="2">
        <v>22.8</v>
      </c>
      <c r="H8" s="2">
        <v>26</v>
      </c>
      <c r="I8" s="2">
        <v>25.9</v>
      </c>
      <c r="J8" s="2">
        <v>20</v>
      </c>
      <c r="K8" s="2">
        <v>16.7</v>
      </c>
      <c r="L8" s="2">
        <v>10</v>
      </c>
      <c r="M8" s="2">
        <v>6.8</v>
      </c>
      <c r="O8">
        <v>1998</v>
      </c>
      <c r="P8" s="2">
        <v>40</v>
      </c>
      <c r="Q8" s="2">
        <v>17.7</v>
      </c>
      <c r="R8" s="2">
        <v>10.1</v>
      </c>
      <c r="S8" s="2">
        <v>105.3</v>
      </c>
      <c r="T8" s="2">
        <v>175.3</v>
      </c>
      <c r="U8" s="2">
        <v>40.700000000000003</v>
      </c>
      <c r="V8" s="2">
        <v>13.8</v>
      </c>
      <c r="W8" s="2">
        <v>12.4</v>
      </c>
      <c r="X8" s="2">
        <v>248.4</v>
      </c>
      <c r="Y8" s="2">
        <v>140.6</v>
      </c>
      <c r="Z8" s="2">
        <v>107.2</v>
      </c>
      <c r="AA8" s="2">
        <v>52</v>
      </c>
    </row>
    <row r="9" spans="1:27" x14ac:dyDescent="0.25">
      <c r="A9">
        <v>1999</v>
      </c>
      <c r="B9" s="2">
        <v>7.8</v>
      </c>
      <c r="C9" s="2">
        <v>6.1</v>
      </c>
      <c r="D9" s="2">
        <v>10.3</v>
      </c>
      <c r="E9" s="2">
        <v>13.9</v>
      </c>
      <c r="F9" s="2">
        <v>18.7</v>
      </c>
      <c r="G9" s="2">
        <v>22.8</v>
      </c>
      <c r="H9" s="2">
        <v>24.6</v>
      </c>
      <c r="I9" s="2">
        <v>24.7</v>
      </c>
      <c r="J9" s="2">
        <v>21.8</v>
      </c>
      <c r="K9" s="2">
        <v>16.899999999999999</v>
      </c>
      <c r="L9" s="2">
        <v>11.3</v>
      </c>
      <c r="M9" s="2">
        <v>8.8000000000000007</v>
      </c>
      <c r="O9">
        <v>1999</v>
      </c>
      <c r="P9" s="2">
        <v>75.400000000000006</v>
      </c>
      <c r="Q9" s="2">
        <v>69.2</v>
      </c>
      <c r="R9" s="2">
        <v>45.2</v>
      </c>
      <c r="S9" s="2">
        <v>98.1</v>
      </c>
      <c r="T9" s="2">
        <v>94.2</v>
      </c>
      <c r="U9" s="2">
        <v>49</v>
      </c>
      <c r="V9" s="2">
        <v>27</v>
      </c>
      <c r="W9" s="2">
        <v>21</v>
      </c>
      <c r="X9" s="2">
        <v>87.5</v>
      </c>
      <c r="Y9" s="2">
        <v>136.6</v>
      </c>
      <c r="Z9" s="2">
        <v>122.4</v>
      </c>
      <c r="AA9" s="2">
        <v>111.8</v>
      </c>
    </row>
    <row r="10" spans="1:27" x14ac:dyDescent="0.25">
      <c r="A10">
        <v>2000</v>
      </c>
      <c r="B10" s="2">
        <v>5.8</v>
      </c>
      <c r="C10" s="2">
        <v>8</v>
      </c>
      <c r="D10" s="2">
        <v>9.6999999999999993</v>
      </c>
      <c r="E10" s="2">
        <v>14.5</v>
      </c>
      <c r="F10" s="2">
        <v>20.2</v>
      </c>
      <c r="G10" s="2">
        <v>23.9</v>
      </c>
      <c r="H10" s="2">
        <v>23.7</v>
      </c>
      <c r="I10" s="2">
        <v>25.4</v>
      </c>
      <c r="J10" s="2">
        <v>20.5</v>
      </c>
      <c r="K10" s="2">
        <v>18</v>
      </c>
      <c r="L10" s="2">
        <v>14.7</v>
      </c>
      <c r="M10" s="2">
        <v>10.9</v>
      </c>
      <c r="O10">
        <v>2000</v>
      </c>
      <c r="P10" s="2">
        <v>60.5</v>
      </c>
      <c r="Q10" s="2">
        <v>34.200000000000003</v>
      </c>
      <c r="R10" s="2">
        <v>68.5</v>
      </c>
      <c r="S10" s="2">
        <v>71.2</v>
      </c>
      <c r="T10" s="2">
        <v>45.9</v>
      </c>
      <c r="U10" s="2">
        <v>0</v>
      </c>
      <c r="V10" s="2">
        <v>38.9</v>
      </c>
      <c r="W10" s="2">
        <v>0</v>
      </c>
      <c r="X10" s="2">
        <v>58.5</v>
      </c>
      <c r="Y10" s="2">
        <v>90.9</v>
      </c>
      <c r="Z10" s="2">
        <v>157.30000000000001</v>
      </c>
      <c r="AA10" s="2">
        <v>156.19999999999999</v>
      </c>
    </row>
    <row r="11" spans="1:27" x14ac:dyDescent="0.25">
      <c r="A11">
        <v>2001</v>
      </c>
      <c r="B11" s="2">
        <v>9.3000000000000007</v>
      </c>
      <c r="C11" s="2">
        <v>8.9</v>
      </c>
      <c r="D11" s="2">
        <v>13.2</v>
      </c>
      <c r="E11" s="2">
        <v>13</v>
      </c>
      <c r="F11" s="2">
        <v>19.600000000000001</v>
      </c>
      <c r="G11" s="2">
        <v>21.3</v>
      </c>
      <c r="H11" s="2">
        <v>24.7</v>
      </c>
      <c r="I11" s="2">
        <v>25.5</v>
      </c>
      <c r="J11" s="2">
        <v>18.3</v>
      </c>
      <c r="K11" s="2">
        <v>18</v>
      </c>
      <c r="L11" s="2">
        <v>11.1</v>
      </c>
      <c r="M11" s="2">
        <v>5.4</v>
      </c>
      <c r="O11">
        <v>2001</v>
      </c>
      <c r="P11" s="2">
        <v>128.69999999999999</v>
      </c>
      <c r="Q11" s="2">
        <v>20.9</v>
      </c>
      <c r="R11" s="2">
        <v>98.2</v>
      </c>
      <c r="S11" s="2">
        <v>68.8</v>
      </c>
      <c r="T11" s="2">
        <v>32</v>
      </c>
      <c r="U11" s="2">
        <v>55.1</v>
      </c>
      <c r="V11" s="2">
        <v>3.5</v>
      </c>
      <c r="W11" s="2">
        <v>0.3</v>
      </c>
      <c r="X11" s="2">
        <v>206.5</v>
      </c>
      <c r="Y11" s="2">
        <v>30.4</v>
      </c>
      <c r="Z11" s="2">
        <v>116</v>
      </c>
      <c r="AA11" s="2">
        <v>65.7</v>
      </c>
    </row>
    <row r="12" spans="1:27" x14ac:dyDescent="0.25">
      <c r="A12">
        <v>2002</v>
      </c>
      <c r="B12" s="2">
        <v>6</v>
      </c>
      <c r="C12" s="2">
        <v>9.4</v>
      </c>
      <c r="D12" s="2">
        <v>11.9</v>
      </c>
      <c r="E12" s="2">
        <v>13.9</v>
      </c>
      <c r="F12" s="2">
        <v>18.7</v>
      </c>
      <c r="G12" s="2">
        <v>23.1</v>
      </c>
      <c r="H12" s="2">
        <v>24.6</v>
      </c>
      <c r="I12" s="2">
        <v>23.3</v>
      </c>
      <c r="J12" s="2">
        <v>19.5</v>
      </c>
      <c r="K12" s="2">
        <v>16.5</v>
      </c>
      <c r="L12" s="2">
        <v>14.3</v>
      </c>
      <c r="M12" s="2">
        <v>9.1</v>
      </c>
      <c r="O12">
        <v>2002</v>
      </c>
      <c r="P12" s="2">
        <v>24</v>
      </c>
      <c r="Q12" s="2">
        <v>138</v>
      </c>
      <c r="R12" s="2">
        <v>3</v>
      </c>
      <c r="S12" s="2">
        <v>68</v>
      </c>
      <c r="T12" s="2">
        <v>151</v>
      </c>
      <c r="U12" s="2">
        <v>39</v>
      </c>
      <c r="V12" s="2">
        <v>106</v>
      </c>
      <c r="W12" s="2">
        <v>160</v>
      </c>
      <c r="X12" s="2">
        <v>152</v>
      </c>
      <c r="Y12" s="2">
        <v>93</v>
      </c>
      <c r="Z12" s="2">
        <v>147</v>
      </c>
      <c r="AA12" s="2">
        <v>123</v>
      </c>
    </row>
    <row r="13" spans="1:27" x14ac:dyDescent="0.25">
      <c r="A13">
        <v>2003</v>
      </c>
      <c r="B13" s="2">
        <v>7.4</v>
      </c>
      <c r="C13" s="2">
        <v>4.4000000000000004</v>
      </c>
      <c r="D13" s="2">
        <v>9.6</v>
      </c>
      <c r="E13" s="2">
        <v>13.1</v>
      </c>
      <c r="F13" s="2">
        <v>19.8</v>
      </c>
      <c r="G13" s="2">
        <v>25.4</v>
      </c>
      <c r="H13" s="2">
        <v>26.1</v>
      </c>
      <c r="I13" s="2">
        <v>27.2</v>
      </c>
      <c r="J13" s="2">
        <v>19.899999999999999</v>
      </c>
      <c r="K13" s="2">
        <v>15.1</v>
      </c>
      <c r="L13" s="2">
        <v>13.5</v>
      </c>
      <c r="M13" s="2">
        <v>9.6</v>
      </c>
      <c r="O13">
        <v>2003</v>
      </c>
      <c r="P13" s="2">
        <v>125.3</v>
      </c>
      <c r="Q13" s="2">
        <v>8.9</v>
      </c>
      <c r="R13" s="2">
        <v>12.8</v>
      </c>
      <c r="S13" s="2">
        <v>14.9</v>
      </c>
      <c r="T13" s="2">
        <v>14.5</v>
      </c>
      <c r="U13" s="2">
        <v>49.8</v>
      </c>
      <c r="V13" s="2">
        <v>1.2</v>
      </c>
      <c r="W13" s="2">
        <v>22.5</v>
      </c>
      <c r="X13" s="2">
        <v>47.1</v>
      </c>
      <c r="Y13" s="2">
        <v>126.9</v>
      </c>
      <c r="Z13" s="2">
        <v>97.8</v>
      </c>
      <c r="AA13" s="2">
        <v>65.7</v>
      </c>
    </row>
    <row r="14" spans="1:27" x14ac:dyDescent="0.25">
      <c r="A14">
        <v>2004</v>
      </c>
      <c r="B14" s="2">
        <v>6</v>
      </c>
      <c r="C14" s="2">
        <v>7.6</v>
      </c>
      <c r="D14" s="2">
        <v>9.1</v>
      </c>
      <c r="E14" s="2">
        <v>13.7</v>
      </c>
      <c r="F14" s="2">
        <v>16.600000000000001</v>
      </c>
      <c r="G14" s="2">
        <v>21.6</v>
      </c>
      <c r="H14" s="2">
        <v>24.8</v>
      </c>
      <c r="I14" s="2">
        <v>24.4</v>
      </c>
      <c r="J14" s="2">
        <v>20.7</v>
      </c>
      <c r="K14" s="2">
        <v>18.2</v>
      </c>
      <c r="L14" s="2">
        <v>12.2</v>
      </c>
      <c r="M14" s="2">
        <v>9.6999999999999993</v>
      </c>
      <c r="O14">
        <v>2004</v>
      </c>
      <c r="P14" s="2">
        <v>70.400000000000006</v>
      </c>
      <c r="Q14" s="2">
        <v>87.5</v>
      </c>
      <c r="R14" s="2">
        <v>63.6</v>
      </c>
      <c r="S14" s="2">
        <v>81</v>
      </c>
      <c r="T14" s="2">
        <v>57.5</v>
      </c>
      <c r="U14" s="2">
        <v>40.700000000000003</v>
      </c>
      <c r="V14" s="2">
        <v>5.4</v>
      </c>
      <c r="W14" s="2">
        <v>4.0999999999999996</v>
      </c>
      <c r="X14" s="2">
        <v>38.6</v>
      </c>
      <c r="Y14" s="2">
        <v>107.6</v>
      </c>
      <c r="Z14" s="2">
        <v>122.2</v>
      </c>
      <c r="AA14" s="2">
        <v>121.8</v>
      </c>
    </row>
    <row r="15" spans="1:27" x14ac:dyDescent="0.25">
      <c r="A15">
        <v>2005</v>
      </c>
      <c r="B15" s="2">
        <v>6.5</v>
      </c>
      <c r="C15" s="2">
        <v>5.0999999999999996</v>
      </c>
      <c r="D15" s="2">
        <v>8.6</v>
      </c>
      <c r="E15" s="2">
        <v>13.3</v>
      </c>
      <c r="F15" s="2">
        <v>18.8</v>
      </c>
      <c r="G15" s="2">
        <v>22.3</v>
      </c>
      <c r="H15" s="2">
        <v>24.8</v>
      </c>
      <c r="I15" s="2">
        <v>22.4</v>
      </c>
      <c r="J15" s="2">
        <v>20.8</v>
      </c>
      <c r="K15" s="2">
        <v>16.100000000000001</v>
      </c>
      <c r="L15" s="2">
        <v>11.7</v>
      </c>
      <c r="M15" s="2">
        <v>7.6</v>
      </c>
      <c r="O15">
        <v>2005</v>
      </c>
      <c r="P15" s="2">
        <v>21.1</v>
      </c>
      <c r="Q15" s="2">
        <v>62.5</v>
      </c>
      <c r="R15" s="2">
        <v>78</v>
      </c>
      <c r="S15" s="2">
        <v>66.8</v>
      </c>
      <c r="T15" s="2">
        <v>38.1</v>
      </c>
      <c r="U15" s="2">
        <v>12.5</v>
      </c>
      <c r="V15" s="2">
        <v>62.8</v>
      </c>
      <c r="W15" s="2">
        <v>96.4</v>
      </c>
      <c r="X15" s="2">
        <v>75.400000000000006</v>
      </c>
      <c r="Y15" s="2">
        <v>198</v>
      </c>
      <c r="Z15" s="2">
        <v>93.1</v>
      </c>
      <c r="AA15" s="2">
        <v>158.9</v>
      </c>
    </row>
    <row r="16" spans="1:27" x14ac:dyDescent="0.25">
      <c r="A16">
        <v>2006</v>
      </c>
      <c r="B16" s="2">
        <v>6.1</v>
      </c>
      <c r="C16" s="2">
        <v>7.2</v>
      </c>
      <c r="D16" s="2">
        <v>8.5</v>
      </c>
      <c r="E16" s="2">
        <v>13.8</v>
      </c>
      <c r="F16" s="2">
        <v>18.2</v>
      </c>
      <c r="G16" s="2">
        <v>22</v>
      </c>
      <c r="H16" s="2">
        <v>25.6</v>
      </c>
      <c r="I16" s="2">
        <v>22.5</v>
      </c>
      <c r="J16" s="2">
        <v>21.3</v>
      </c>
      <c r="K16" s="2">
        <v>17.7</v>
      </c>
      <c r="L16" s="2">
        <v>12.4</v>
      </c>
      <c r="M16" s="2">
        <v>10</v>
      </c>
      <c r="O16">
        <v>2006</v>
      </c>
      <c r="P16" s="2">
        <v>53.3</v>
      </c>
      <c r="Q16" s="2">
        <v>34</v>
      </c>
      <c r="R16" s="2">
        <v>73.5</v>
      </c>
      <c r="S16" s="2">
        <v>73</v>
      </c>
      <c r="T16" s="2">
        <v>59.7</v>
      </c>
      <c r="U16" s="2">
        <v>12.9</v>
      </c>
      <c r="V16" s="2">
        <v>1.5</v>
      </c>
      <c r="W16" s="2">
        <v>189</v>
      </c>
      <c r="X16" s="2">
        <v>70.599999999999994</v>
      </c>
      <c r="Y16" s="2">
        <v>34.299999999999997</v>
      </c>
      <c r="Z16" s="2">
        <v>50.2</v>
      </c>
      <c r="AA16" s="2">
        <v>36.200000000000003</v>
      </c>
    </row>
    <row r="17" spans="1:27" x14ac:dyDescent="0.25">
      <c r="A17">
        <v>2007</v>
      </c>
      <c r="B17" s="2">
        <v>10.199999999999999</v>
      </c>
      <c r="C17" s="2">
        <v>10.5</v>
      </c>
      <c r="D17" s="2">
        <v>11.7</v>
      </c>
      <c r="E17" s="2">
        <v>15.8</v>
      </c>
      <c r="F17" s="2">
        <v>19.899999999999999</v>
      </c>
      <c r="G17" s="2">
        <v>23.9</v>
      </c>
      <c r="H17" s="2">
        <v>26</v>
      </c>
      <c r="I17" s="2">
        <v>24.2</v>
      </c>
      <c r="J17" s="2">
        <v>18.5</v>
      </c>
      <c r="K17" s="2">
        <v>14.9</v>
      </c>
      <c r="L17" s="2">
        <v>10.1</v>
      </c>
      <c r="M17" s="2">
        <v>7.5</v>
      </c>
      <c r="O17">
        <v>2007</v>
      </c>
      <c r="P17" s="2">
        <v>64.8</v>
      </c>
      <c r="Q17" s="2">
        <v>73.2</v>
      </c>
      <c r="R17" s="2">
        <v>83.4</v>
      </c>
      <c r="S17" s="2">
        <v>1.4</v>
      </c>
      <c r="T17" s="2">
        <v>72.599999999999994</v>
      </c>
      <c r="U17" s="2">
        <v>14.8</v>
      </c>
      <c r="V17" s="2">
        <v>20</v>
      </c>
      <c r="W17" s="2">
        <v>31.1</v>
      </c>
      <c r="X17" s="2">
        <v>161.30000000000001</v>
      </c>
      <c r="Y17" s="2">
        <v>51.5</v>
      </c>
      <c r="Z17" s="2">
        <v>26.2</v>
      </c>
      <c r="AA17" s="2">
        <v>77.900000000000006</v>
      </c>
    </row>
    <row r="18" spans="1:27" x14ac:dyDescent="0.25">
      <c r="A18">
        <v>2008</v>
      </c>
      <c r="B18" s="2">
        <v>8.9</v>
      </c>
      <c r="C18" s="2">
        <v>8.3000000000000007</v>
      </c>
      <c r="D18" s="2">
        <v>10.7</v>
      </c>
      <c r="E18" s="2">
        <v>14</v>
      </c>
      <c r="F18" s="2">
        <v>18.899999999999999</v>
      </c>
      <c r="G18" s="2">
        <v>22.7</v>
      </c>
      <c r="H18" s="2">
        <v>25.4</v>
      </c>
      <c r="I18" s="2">
        <v>24.9</v>
      </c>
      <c r="J18" s="2">
        <v>19.3</v>
      </c>
      <c r="K18" s="2">
        <v>16.899999999999999</v>
      </c>
      <c r="L18" s="2">
        <v>12.8</v>
      </c>
      <c r="M18" s="2">
        <v>9.4</v>
      </c>
      <c r="O18">
        <v>2008</v>
      </c>
      <c r="P18" s="2">
        <v>67.099999999999994</v>
      </c>
      <c r="Q18" s="2">
        <v>15</v>
      </c>
      <c r="R18" s="2">
        <v>94.7</v>
      </c>
      <c r="S18" s="2">
        <v>53.1</v>
      </c>
      <c r="T18" s="2">
        <v>48.5</v>
      </c>
      <c r="U18" s="2">
        <v>86.4</v>
      </c>
      <c r="V18" s="2">
        <v>15.3</v>
      </c>
      <c r="W18" s="2">
        <v>14.8</v>
      </c>
      <c r="X18" s="2">
        <v>4</v>
      </c>
      <c r="Y18" s="2">
        <v>35.4</v>
      </c>
      <c r="Z18" s="2">
        <v>126.6</v>
      </c>
      <c r="AA18" s="2">
        <v>172.8</v>
      </c>
    </row>
    <row r="19" spans="1:27" x14ac:dyDescent="0.25">
      <c r="A19">
        <v>2009</v>
      </c>
      <c r="B19" s="2">
        <v>7.2</v>
      </c>
      <c r="C19" s="2">
        <v>7.4</v>
      </c>
      <c r="D19" s="2">
        <v>10.4</v>
      </c>
      <c r="E19" s="2">
        <v>14.6</v>
      </c>
      <c r="F19" s="2">
        <v>19.8</v>
      </c>
      <c r="G19" s="2">
        <v>21.3</v>
      </c>
      <c r="H19" s="2">
        <v>25.4</v>
      </c>
      <c r="I19" s="2">
        <v>25.4</v>
      </c>
      <c r="J19" s="2">
        <v>22</v>
      </c>
      <c r="K19" s="2">
        <v>15.4</v>
      </c>
      <c r="L19" s="2">
        <v>12.7</v>
      </c>
      <c r="M19" s="2">
        <v>8.9</v>
      </c>
      <c r="O19">
        <v>2009</v>
      </c>
      <c r="P19" s="2">
        <v>203.9</v>
      </c>
      <c r="Q19" s="2">
        <v>78.3</v>
      </c>
      <c r="R19" s="2">
        <v>58.5</v>
      </c>
      <c r="S19" s="2">
        <v>95.1</v>
      </c>
      <c r="T19" s="2">
        <v>14.3</v>
      </c>
      <c r="U19" s="2">
        <v>80.599999999999994</v>
      </c>
      <c r="V19" s="2">
        <v>12.7</v>
      </c>
      <c r="W19" s="2">
        <v>13</v>
      </c>
      <c r="X19" s="2">
        <v>63.1</v>
      </c>
      <c r="Y19" s="2">
        <v>105.2</v>
      </c>
      <c r="Z19" s="2">
        <v>157.1</v>
      </c>
      <c r="AA19" s="2">
        <v>127.3</v>
      </c>
    </row>
    <row r="20" spans="1:27" x14ac:dyDescent="0.25">
      <c r="A20">
        <v>2010</v>
      </c>
      <c r="B20" s="2">
        <v>6.3</v>
      </c>
      <c r="C20" s="2">
        <v>7.9</v>
      </c>
      <c r="D20" s="2">
        <v>9.6</v>
      </c>
      <c r="E20" s="2">
        <v>14</v>
      </c>
      <c r="F20" s="2">
        <v>17.600000000000001</v>
      </c>
      <c r="G20" s="2">
        <v>22.3</v>
      </c>
      <c r="H20" s="2">
        <v>25.2</v>
      </c>
      <c r="I20" s="2">
        <v>23.7</v>
      </c>
      <c r="J20" s="2">
        <v>19.5</v>
      </c>
      <c r="K20" s="2">
        <v>14.9</v>
      </c>
      <c r="L20" s="2">
        <v>13.4</v>
      </c>
      <c r="M20" s="2">
        <v>7.6</v>
      </c>
      <c r="O20">
        <v>2010</v>
      </c>
      <c r="P20" s="2">
        <v>188.4</v>
      </c>
      <c r="Q20" s="2">
        <v>135.9</v>
      </c>
      <c r="R20" s="2">
        <v>53.2</v>
      </c>
      <c r="S20" s="2">
        <v>51.7</v>
      </c>
      <c r="T20" s="2">
        <v>82.2</v>
      </c>
      <c r="U20" s="2">
        <v>28.1</v>
      </c>
      <c r="V20" s="2">
        <v>45.3</v>
      </c>
      <c r="W20" s="2">
        <v>30.8</v>
      </c>
      <c r="X20" s="2">
        <v>127.5</v>
      </c>
      <c r="Y20" s="2">
        <v>34.9</v>
      </c>
      <c r="Z20" s="2">
        <v>193.4</v>
      </c>
      <c r="AA20" s="2">
        <v>138.30000000000001</v>
      </c>
    </row>
    <row r="21" spans="1:27" x14ac:dyDescent="0.25">
      <c r="A21">
        <v>2011</v>
      </c>
      <c r="B21" s="2">
        <v>7.3</v>
      </c>
      <c r="C21" s="2">
        <v>7.7</v>
      </c>
      <c r="D21" s="2">
        <v>10.3</v>
      </c>
      <c r="E21" s="2">
        <v>15</v>
      </c>
      <c r="F21" s="2">
        <v>19</v>
      </c>
      <c r="G21" s="2">
        <v>23.5</v>
      </c>
      <c r="H21" s="2">
        <v>24.4</v>
      </c>
      <c r="I21" s="2">
        <v>25.4</v>
      </c>
      <c r="J21" s="2">
        <v>23.5</v>
      </c>
      <c r="K21" s="2">
        <v>16</v>
      </c>
      <c r="L21" s="2">
        <v>12.2</v>
      </c>
      <c r="M21" s="2">
        <v>10.6</v>
      </c>
      <c r="O21">
        <v>2011</v>
      </c>
      <c r="P21" s="2">
        <v>35.6</v>
      </c>
      <c r="Q21" s="2">
        <v>5.6</v>
      </c>
      <c r="R21" s="2">
        <v>35.200000000000003</v>
      </c>
      <c r="S21" s="2">
        <v>11.9</v>
      </c>
      <c r="T21" s="2">
        <v>24.3</v>
      </c>
      <c r="U21" s="2">
        <v>44.1</v>
      </c>
      <c r="V21" s="2">
        <v>43.6</v>
      </c>
      <c r="W21" s="2">
        <v>0</v>
      </c>
      <c r="X21" s="2">
        <v>19.899999999999999</v>
      </c>
      <c r="Y21" s="2">
        <v>122.7</v>
      </c>
      <c r="Z21" s="2">
        <v>26</v>
      </c>
      <c r="AA21" s="2">
        <v>139.9</v>
      </c>
    </row>
    <row r="22" spans="1:27" x14ac:dyDescent="0.25">
      <c r="A22">
        <v>2012</v>
      </c>
      <c r="B22" s="2">
        <v>7.4</v>
      </c>
      <c r="C22" s="2">
        <v>4.4000000000000004</v>
      </c>
      <c r="D22" s="2">
        <v>12.2</v>
      </c>
      <c r="E22" s="2">
        <v>13.8</v>
      </c>
      <c r="F22" s="2">
        <v>17.600000000000001</v>
      </c>
      <c r="G22" s="2">
        <v>23.9</v>
      </c>
      <c r="H22" s="2">
        <v>27.1</v>
      </c>
      <c r="I22" s="2">
        <v>26.1</v>
      </c>
      <c r="J22" s="2">
        <v>21.1</v>
      </c>
      <c r="K22" s="2">
        <v>17.2</v>
      </c>
      <c r="L22" s="2">
        <v>14.6</v>
      </c>
      <c r="M22" s="2">
        <v>8.5</v>
      </c>
      <c r="O22">
        <v>2012</v>
      </c>
      <c r="P22" s="2">
        <v>12.4</v>
      </c>
      <c r="Q22" s="2">
        <v>16.399999999999999</v>
      </c>
      <c r="R22" s="2">
        <v>0.2</v>
      </c>
      <c r="S22" s="2">
        <v>111.3</v>
      </c>
      <c r="T22" s="2">
        <v>39.799999999999997</v>
      </c>
      <c r="U22" s="2">
        <v>27.5</v>
      </c>
      <c r="V22" s="2">
        <v>14</v>
      </c>
      <c r="W22" s="2">
        <v>0.6</v>
      </c>
      <c r="X22" s="2">
        <v>259.8</v>
      </c>
      <c r="Y22" s="2">
        <v>154.5</v>
      </c>
      <c r="Z22" s="2">
        <v>147.1</v>
      </c>
      <c r="AA22" s="2">
        <v>137.19999999999999</v>
      </c>
    </row>
    <row r="23" spans="1:27" x14ac:dyDescent="0.25">
      <c r="A23">
        <v>2013</v>
      </c>
      <c r="B23" s="2">
        <v>8.6999999999999993</v>
      </c>
      <c r="C23" s="2">
        <v>7.3</v>
      </c>
      <c r="D23" s="2">
        <v>10</v>
      </c>
      <c r="E23" s="2">
        <v>14.7</v>
      </c>
      <c r="F23" s="2">
        <v>17.399999999999999</v>
      </c>
      <c r="G23" s="2">
        <v>21.7</v>
      </c>
      <c r="H23" s="2">
        <v>25.9</v>
      </c>
      <c r="I23" s="2">
        <v>24.9</v>
      </c>
      <c r="J23" s="2">
        <v>20.5</v>
      </c>
      <c r="K23" s="2">
        <v>17</v>
      </c>
      <c r="L23" s="2">
        <v>12.9</v>
      </c>
      <c r="M23" s="2">
        <v>10.1</v>
      </c>
      <c r="O23">
        <v>2013</v>
      </c>
      <c r="P23" s="2">
        <v>171.5</v>
      </c>
      <c r="Q23" s="2">
        <v>85.6</v>
      </c>
      <c r="R23" s="2">
        <v>136.5</v>
      </c>
      <c r="S23" s="2">
        <v>79.2</v>
      </c>
      <c r="T23" s="2">
        <v>134.19999999999999</v>
      </c>
      <c r="U23" s="2">
        <v>80.400000000000006</v>
      </c>
      <c r="V23" s="2">
        <v>0.9</v>
      </c>
      <c r="W23" s="2">
        <v>54.6</v>
      </c>
      <c r="X23" s="2">
        <v>123.6</v>
      </c>
      <c r="Y23" s="2">
        <v>109</v>
      </c>
      <c r="Z23" s="2">
        <v>195.7</v>
      </c>
      <c r="AA23" s="2">
        <v>16</v>
      </c>
    </row>
    <row r="24" spans="1:27" x14ac:dyDescent="0.25">
      <c r="A24">
        <v>2014</v>
      </c>
      <c r="B24" s="2">
        <v>10.9</v>
      </c>
      <c r="C24" s="2">
        <v>11</v>
      </c>
      <c r="D24" s="2">
        <v>11.9</v>
      </c>
      <c r="E24" s="2">
        <v>14.9</v>
      </c>
      <c r="F24" s="2">
        <v>17.399999999999999</v>
      </c>
      <c r="G24" s="2">
        <v>22.4</v>
      </c>
      <c r="H24" s="2">
        <v>23.7</v>
      </c>
      <c r="I24" s="2">
        <v>24</v>
      </c>
      <c r="J24" s="2">
        <v>19.899999999999999</v>
      </c>
      <c r="K24" s="2">
        <v>17.5</v>
      </c>
      <c r="L24" s="2">
        <v>15</v>
      </c>
      <c r="M24" s="2">
        <v>9.8000000000000007</v>
      </c>
      <c r="O24">
        <v>2014</v>
      </c>
      <c r="P24" s="2">
        <v>83</v>
      </c>
      <c r="Q24" s="2">
        <v>182.2</v>
      </c>
      <c r="R24" s="2">
        <v>46.8</v>
      </c>
      <c r="S24" s="2">
        <v>69.8</v>
      </c>
      <c r="T24" s="2">
        <v>40.200000000000003</v>
      </c>
      <c r="U24" s="2">
        <v>49.8</v>
      </c>
      <c r="V24" s="2">
        <v>341.3</v>
      </c>
      <c r="W24" s="2">
        <v>61.1</v>
      </c>
      <c r="X24" s="2">
        <v>239.7</v>
      </c>
      <c r="Y24" s="2">
        <v>13.7</v>
      </c>
      <c r="Z24" s="2">
        <v>108.4</v>
      </c>
      <c r="AA24" s="2">
        <v>128.5</v>
      </c>
    </row>
    <row r="25" spans="1:27" x14ac:dyDescent="0.25">
      <c r="A25">
        <v>2015</v>
      </c>
      <c r="B25" s="2">
        <v>8.6999999999999993</v>
      </c>
      <c r="C25" s="2">
        <v>8.1</v>
      </c>
      <c r="D25" s="2">
        <v>10.8</v>
      </c>
      <c r="E25" s="2">
        <v>13.5</v>
      </c>
      <c r="F25" s="2">
        <v>18.600000000000001</v>
      </c>
      <c r="G25" s="2">
        <v>23.2</v>
      </c>
      <c r="H25" s="2">
        <v>27.3</v>
      </c>
      <c r="I25" s="2">
        <v>25.6</v>
      </c>
      <c r="J25" s="2">
        <v>21.1</v>
      </c>
      <c r="K25" s="2">
        <v>16.3</v>
      </c>
      <c r="L25" s="2">
        <v>12.2</v>
      </c>
      <c r="M25" s="2">
        <v>10.4</v>
      </c>
      <c r="O25">
        <v>2015</v>
      </c>
      <c r="P25" s="2">
        <v>61.6</v>
      </c>
      <c r="Q25" s="2">
        <v>148.19999999999999</v>
      </c>
      <c r="R25" s="2">
        <v>47</v>
      </c>
      <c r="S25" s="2">
        <v>28.1</v>
      </c>
      <c r="T25" s="2">
        <v>116.9</v>
      </c>
      <c r="U25" s="2">
        <v>8.9</v>
      </c>
      <c r="V25" s="2">
        <v>10.1</v>
      </c>
      <c r="W25" s="2">
        <v>85.3</v>
      </c>
      <c r="X25" s="2">
        <v>85.9</v>
      </c>
      <c r="Y25" s="2">
        <v>283.10000000000002</v>
      </c>
      <c r="Z25" s="2">
        <v>72.900000000000006</v>
      </c>
      <c r="AA25" s="2">
        <v>0.3</v>
      </c>
    </row>
    <row r="26" spans="1:27" x14ac:dyDescent="0.25">
      <c r="A26">
        <v>2016</v>
      </c>
      <c r="B26" s="2">
        <v>8.5</v>
      </c>
      <c r="C26" s="2">
        <v>10.9</v>
      </c>
      <c r="D26" s="2">
        <v>10.9</v>
      </c>
      <c r="E26" s="2">
        <v>14.9</v>
      </c>
      <c r="F26" s="2">
        <v>17.600000000000001</v>
      </c>
      <c r="G26" s="2">
        <v>22.7</v>
      </c>
      <c r="H26" s="2">
        <v>25.8</v>
      </c>
      <c r="I26" s="2">
        <v>24.2</v>
      </c>
      <c r="J26" s="2">
        <v>21.2</v>
      </c>
      <c r="K26" s="2">
        <v>15.5</v>
      </c>
      <c r="L26" s="2">
        <v>12.1</v>
      </c>
      <c r="M26" s="2">
        <v>9</v>
      </c>
      <c r="O26">
        <v>2016</v>
      </c>
      <c r="P26" s="2">
        <v>95.7</v>
      </c>
      <c r="Q26" s="2">
        <v>124.6</v>
      </c>
      <c r="R26" s="2">
        <v>81.3</v>
      </c>
      <c r="S26" s="2">
        <v>35.200000000000003</v>
      </c>
      <c r="T26" s="2">
        <v>111.8</v>
      </c>
      <c r="U26" s="2">
        <v>55.8</v>
      </c>
      <c r="V26" s="2">
        <v>0.7</v>
      </c>
      <c r="W26" s="2">
        <v>60.9</v>
      </c>
      <c r="X26" s="2">
        <v>93.3</v>
      </c>
      <c r="Y26" s="2">
        <v>85.8</v>
      </c>
      <c r="Z26" s="2">
        <v>97.9</v>
      </c>
      <c r="AA26" s="2">
        <v>0.3</v>
      </c>
    </row>
    <row r="27" spans="1:27" x14ac:dyDescent="0.25">
      <c r="A27">
        <v>2017</v>
      </c>
      <c r="B27" s="2">
        <v>4.3</v>
      </c>
      <c r="C27" s="2">
        <v>9.6</v>
      </c>
      <c r="D27" s="2">
        <v>12</v>
      </c>
      <c r="E27" s="2">
        <v>13.9</v>
      </c>
      <c r="F27" s="2">
        <v>18.8</v>
      </c>
      <c r="G27" s="2">
        <v>24.2</v>
      </c>
      <c r="H27" s="2">
        <v>26</v>
      </c>
      <c r="I27" s="2">
        <v>26.4</v>
      </c>
      <c r="J27" s="2">
        <v>19.7</v>
      </c>
      <c r="K27" s="2">
        <v>16.399999999999999</v>
      </c>
      <c r="L27" s="2">
        <v>11.9</v>
      </c>
      <c r="M27" s="2">
        <v>8.6</v>
      </c>
      <c r="O27">
        <v>2017</v>
      </c>
      <c r="P27" s="2">
        <v>73.5</v>
      </c>
      <c r="Q27" s="2">
        <v>104.6</v>
      </c>
      <c r="R27" s="2">
        <v>43.5</v>
      </c>
      <c r="S27" s="2">
        <v>98.7</v>
      </c>
      <c r="T27" s="2">
        <v>38.700000000000003</v>
      </c>
      <c r="U27" s="2">
        <v>15.6</v>
      </c>
      <c r="V27" s="2">
        <v>16.8</v>
      </c>
      <c r="W27" s="2">
        <v>1.1000000000000001</v>
      </c>
      <c r="X27" s="2">
        <v>459.6</v>
      </c>
      <c r="Y27" s="2">
        <v>54.2</v>
      </c>
      <c r="Z27" s="2">
        <v>142.80000000000001</v>
      </c>
      <c r="AA27" s="2">
        <v>90.1</v>
      </c>
    </row>
    <row r="28" spans="1:27" x14ac:dyDescent="0.25">
      <c r="A28">
        <v>2018</v>
      </c>
      <c r="B28" s="2">
        <v>10.1</v>
      </c>
      <c r="C28" s="2">
        <v>5.9</v>
      </c>
      <c r="D28" s="2">
        <v>9.8000000000000007</v>
      </c>
      <c r="E28" s="2">
        <v>16.399999999999999</v>
      </c>
      <c r="F28" s="2">
        <v>20.9</v>
      </c>
      <c r="G28" s="2">
        <v>23.7</v>
      </c>
      <c r="H28" s="2">
        <v>25.5</v>
      </c>
      <c r="I28" s="2">
        <v>26.4</v>
      </c>
      <c r="J28" s="2">
        <v>21.8</v>
      </c>
      <c r="K28" s="2">
        <v>18.2</v>
      </c>
      <c r="L28" s="2">
        <v>13.3</v>
      </c>
      <c r="M28" s="2">
        <v>8.9</v>
      </c>
      <c r="O28">
        <v>2018</v>
      </c>
      <c r="P28" s="2">
        <v>87.1</v>
      </c>
      <c r="Q28" s="2">
        <v>125.6</v>
      </c>
      <c r="R28" s="2">
        <v>176.9</v>
      </c>
      <c r="S28" s="2">
        <v>30.1</v>
      </c>
      <c r="T28" s="2">
        <v>85.6</v>
      </c>
      <c r="U28" s="2">
        <v>50.3</v>
      </c>
      <c r="V28" s="2">
        <v>31</v>
      </c>
      <c r="W28" s="2">
        <v>67.5</v>
      </c>
      <c r="X28" s="2">
        <v>39.299999999999997</v>
      </c>
      <c r="Y28" s="2">
        <v>47.7</v>
      </c>
      <c r="Z28" s="2">
        <v>124</v>
      </c>
      <c r="AA28" s="2">
        <v>56.8</v>
      </c>
    </row>
    <row r="29" spans="1:27" x14ac:dyDescent="0.25">
      <c r="A29">
        <v>2019</v>
      </c>
      <c r="B29" s="2">
        <v>6.3</v>
      </c>
      <c r="C29" s="2">
        <v>9.9</v>
      </c>
      <c r="D29" s="2">
        <v>11.8</v>
      </c>
      <c r="E29" s="2">
        <v>14.5</v>
      </c>
      <c r="F29" s="2">
        <v>15.9</v>
      </c>
      <c r="G29" s="2">
        <v>24.6</v>
      </c>
      <c r="H29" s="2">
        <v>25.5</v>
      </c>
      <c r="I29" s="2">
        <v>26.2</v>
      </c>
      <c r="J29" s="2">
        <v>21.7</v>
      </c>
      <c r="K29" s="2">
        <v>17.399999999999999</v>
      </c>
      <c r="L29" s="2">
        <v>15.1</v>
      </c>
      <c r="M29" s="2">
        <v>10.6</v>
      </c>
      <c r="O29">
        <v>2019</v>
      </c>
      <c r="P29" s="2">
        <v>94.7</v>
      </c>
      <c r="Q29" s="2">
        <v>13</v>
      </c>
      <c r="R29" s="2">
        <v>41.8</v>
      </c>
      <c r="S29" s="2">
        <v>80.5</v>
      </c>
      <c r="T29" s="2">
        <v>176.7</v>
      </c>
      <c r="U29" s="2">
        <v>5.4</v>
      </c>
      <c r="V29" s="2">
        <v>76.5</v>
      </c>
      <c r="W29" s="2">
        <v>16.2</v>
      </c>
      <c r="X29" s="2">
        <v>118.9</v>
      </c>
      <c r="Y29" s="2">
        <v>86</v>
      </c>
      <c r="Z29" s="2">
        <v>246.4</v>
      </c>
      <c r="AA29" s="2">
        <v>167.2</v>
      </c>
    </row>
    <row r="30" spans="1:27" x14ac:dyDescent="0.25">
      <c r="A30">
        <v>2020</v>
      </c>
      <c r="B30" s="2">
        <v>9</v>
      </c>
      <c r="C30" s="2">
        <v>11.1</v>
      </c>
      <c r="D30" s="2">
        <v>11.1</v>
      </c>
      <c r="E30" s="2">
        <v>14.7</v>
      </c>
      <c r="F30" s="2">
        <v>18.899999999999999</v>
      </c>
      <c r="G30" s="2">
        <v>22.2</v>
      </c>
      <c r="H30" s="2">
        <v>24.9</v>
      </c>
      <c r="I30" s="2">
        <v>25.9</v>
      </c>
      <c r="J30" s="2">
        <v>21.9</v>
      </c>
      <c r="K30" s="2">
        <v>16.3</v>
      </c>
      <c r="L30" s="2">
        <v>12.7</v>
      </c>
      <c r="M30" s="2">
        <v>10.7</v>
      </c>
      <c r="O30">
        <v>2020</v>
      </c>
      <c r="P30" s="2">
        <v>3.8</v>
      </c>
      <c r="Q30" s="2">
        <v>11.2</v>
      </c>
      <c r="R30" s="2">
        <v>32.1</v>
      </c>
      <c r="S30" s="2">
        <v>12.1</v>
      </c>
      <c r="T30" s="2">
        <v>22</v>
      </c>
      <c r="U30" s="2">
        <v>103.4</v>
      </c>
      <c r="V30" s="2">
        <v>6.4</v>
      </c>
      <c r="W30" s="2">
        <v>67.8</v>
      </c>
      <c r="X30" s="2">
        <v>136.6</v>
      </c>
      <c r="Y30" s="2">
        <v>206.4</v>
      </c>
      <c r="Z30" s="2">
        <v>104.1</v>
      </c>
      <c r="AA30" s="2">
        <v>176.9</v>
      </c>
    </row>
    <row r="31" spans="1:27" x14ac:dyDescent="0.25">
      <c r="A31">
        <v>2021</v>
      </c>
      <c r="B31" s="2">
        <v>7.8</v>
      </c>
      <c r="C31" s="2">
        <v>9.9</v>
      </c>
      <c r="D31" s="2">
        <v>10</v>
      </c>
      <c r="E31" s="2">
        <v>12.1</v>
      </c>
      <c r="F31" s="2">
        <v>17.899999999999999</v>
      </c>
      <c r="G31" s="2">
        <v>24.2</v>
      </c>
      <c r="H31" s="2">
        <v>26.1</v>
      </c>
      <c r="I31" s="2">
        <v>25.5</v>
      </c>
      <c r="J31" s="2">
        <v>21.7</v>
      </c>
      <c r="K31" s="2">
        <v>15.4</v>
      </c>
      <c r="L31" s="2">
        <v>13.5</v>
      </c>
      <c r="M31" s="2">
        <v>9.9</v>
      </c>
      <c r="O31">
        <v>2021</v>
      </c>
      <c r="P31" s="2">
        <v>112.6</v>
      </c>
      <c r="Q31" s="2">
        <v>59.2</v>
      </c>
      <c r="R31" s="2">
        <v>15.7</v>
      </c>
      <c r="S31" s="2">
        <v>54.1</v>
      </c>
      <c r="T31" s="2">
        <v>30.2</v>
      </c>
      <c r="U31" s="2">
        <v>2.9</v>
      </c>
      <c r="V31" s="2">
        <v>37.299999999999997</v>
      </c>
      <c r="W31" s="2">
        <v>32.200000000000003</v>
      </c>
      <c r="X31" s="2">
        <v>55.3</v>
      </c>
      <c r="Y31" s="2">
        <v>73.599999999999994</v>
      </c>
      <c r="Z31" s="2">
        <v>176.4</v>
      </c>
      <c r="AA31" s="2">
        <v>122.6</v>
      </c>
    </row>
    <row r="32" spans="1:27" x14ac:dyDescent="0.25">
      <c r="A32">
        <v>2022</v>
      </c>
      <c r="B32" s="2">
        <v>8.1</v>
      </c>
      <c r="C32" s="2">
        <v>9.4</v>
      </c>
      <c r="D32" s="2">
        <v>9.3000000000000007</v>
      </c>
      <c r="E32" s="2">
        <v>13.3</v>
      </c>
      <c r="F32" s="2">
        <v>19.8</v>
      </c>
      <c r="G32" s="2">
        <v>25.6</v>
      </c>
      <c r="H32" s="2">
        <v>27.2</v>
      </c>
      <c r="I32" s="2">
        <v>26.1</v>
      </c>
      <c r="J32" s="2">
        <v>20.8</v>
      </c>
      <c r="K32" s="2">
        <v>18.7</v>
      </c>
      <c r="L32" s="2">
        <v>13.2</v>
      </c>
      <c r="M32" s="2">
        <v>11.7</v>
      </c>
      <c r="O32">
        <v>2022</v>
      </c>
      <c r="P32" s="2">
        <v>26.7</v>
      </c>
      <c r="Q32" s="2">
        <v>68.099999999999994</v>
      </c>
      <c r="R32" s="2">
        <v>18.600000000000001</v>
      </c>
      <c r="S32" s="2">
        <v>59</v>
      </c>
      <c r="T32" s="2">
        <v>25.2</v>
      </c>
      <c r="U32" s="2">
        <v>16.100000000000001</v>
      </c>
      <c r="V32" s="2">
        <v>6.6</v>
      </c>
      <c r="W32" s="2">
        <v>24.9</v>
      </c>
      <c r="X32" s="2">
        <v>109.8</v>
      </c>
      <c r="Y32" s="2">
        <v>1</v>
      </c>
      <c r="Z32" s="2">
        <v>158</v>
      </c>
      <c r="AA32" s="2">
        <v>157.19999999999999</v>
      </c>
    </row>
    <row r="33" spans="1:27" x14ac:dyDescent="0.25">
      <c r="A33">
        <v>2023</v>
      </c>
      <c r="B33" s="2">
        <v>9.9</v>
      </c>
      <c r="C33" s="2">
        <v>8.3000000000000007</v>
      </c>
      <c r="D33" s="2">
        <v>11.9</v>
      </c>
      <c r="E33" s="2">
        <v>13.1</v>
      </c>
      <c r="F33" s="2">
        <v>18.600000000000001</v>
      </c>
      <c r="G33" s="2">
        <v>23.4</v>
      </c>
      <c r="H33" s="2">
        <v>26.6</v>
      </c>
      <c r="I33" s="2">
        <v>25.9</v>
      </c>
      <c r="J33" s="2">
        <v>23.3</v>
      </c>
      <c r="K33" s="2">
        <v>20</v>
      </c>
      <c r="L33" s="2">
        <v>14.2</v>
      </c>
      <c r="M33" s="2">
        <v>11.4</v>
      </c>
      <c r="O33">
        <v>2023</v>
      </c>
      <c r="P33" s="2">
        <v>81.3</v>
      </c>
      <c r="Q33" s="2">
        <v>67.400000000000006</v>
      </c>
      <c r="R33" s="2">
        <v>42.7</v>
      </c>
      <c r="S33" s="2">
        <v>88.8</v>
      </c>
      <c r="T33" s="2">
        <v>154.30000000000001</v>
      </c>
      <c r="U33" s="2">
        <v>62.4</v>
      </c>
      <c r="V33" s="2">
        <v>17.399999999999999</v>
      </c>
      <c r="W33" s="2">
        <v>85.3</v>
      </c>
      <c r="X33" s="2">
        <v>33.299999999999997</v>
      </c>
      <c r="Y33" s="2">
        <v>101.4</v>
      </c>
      <c r="Z33" s="2">
        <v>256.5</v>
      </c>
      <c r="AA33" s="2">
        <v>94.9</v>
      </c>
    </row>
    <row r="34" spans="1:27" x14ac:dyDescent="0.25">
      <c r="A34">
        <v>2024</v>
      </c>
      <c r="B34">
        <v>9.6</v>
      </c>
      <c r="C34">
        <v>12.2</v>
      </c>
      <c r="D34">
        <v>13.1</v>
      </c>
      <c r="E34">
        <v>15.4</v>
      </c>
      <c r="F34">
        <v>19.7</v>
      </c>
      <c r="G34">
        <v>24</v>
      </c>
      <c r="H34">
        <v>27.2</v>
      </c>
      <c r="I34">
        <v>27.5</v>
      </c>
      <c r="J34">
        <v>21.5</v>
      </c>
      <c r="K34">
        <v>18.899999999999999</v>
      </c>
      <c r="L34">
        <v>12.8</v>
      </c>
      <c r="M34">
        <v>9.3000000000000007</v>
      </c>
      <c r="O34">
        <v>2024</v>
      </c>
      <c r="P34">
        <v>33.700000000000003</v>
      </c>
      <c r="Q34">
        <v>30.1</v>
      </c>
      <c r="R34">
        <v>256.10000000000002</v>
      </c>
      <c r="S34">
        <v>31.9</v>
      </c>
      <c r="T34">
        <v>22.9</v>
      </c>
      <c r="U34">
        <v>65.5</v>
      </c>
      <c r="V34">
        <v>41.2</v>
      </c>
      <c r="W34">
        <v>36.5</v>
      </c>
      <c r="X34">
        <v>236.2</v>
      </c>
      <c r="Y34">
        <v>87.9</v>
      </c>
      <c r="Z34">
        <v>36.4</v>
      </c>
      <c r="AA34">
        <v>129.1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D767-DBB5-4554-A811-EB5FC91FEDAB}">
  <dimension ref="A1:AA65"/>
  <sheetViews>
    <sheetView topLeftCell="A9" workbookViewId="0">
      <selection activeCell="P34" sqref="P34:AA34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2.5799999999999992</v>
      </c>
      <c r="C2" s="4">
        <f t="shared" ref="C2:L2" si="0">AVERAGE(C5:C46)</f>
        <v>4.9733333333333336</v>
      </c>
      <c r="D2" s="4">
        <f t="shared" si="0"/>
        <v>8.6793103448275861</v>
      </c>
      <c r="E2" s="4">
        <f t="shared" si="0"/>
        <v>13.251724137931037</v>
      </c>
      <c r="F2" s="4">
        <f t="shared" si="0"/>
        <v>17.662068965517243</v>
      </c>
      <c r="G2" s="4">
        <f t="shared" si="0"/>
        <v>21.727586206896554</v>
      </c>
      <c r="H2" s="4">
        <f t="shared" si="0"/>
        <v>23.468965517241383</v>
      </c>
      <c r="I2" s="4">
        <f t="shared" si="0"/>
        <v>22.903333333333332</v>
      </c>
      <c r="J2" s="4">
        <f t="shared" si="0"/>
        <v>17.713333333333324</v>
      </c>
      <c r="K2" s="4">
        <f t="shared" si="0"/>
        <v>13.12</v>
      </c>
      <c r="L2" s="4">
        <f t="shared" si="0"/>
        <v>7.9233333333333338</v>
      </c>
      <c r="M2" s="4">
        <f>AVERAGE(M5:M46)</f>
        <v>3.3833333333333329</v>
      </c>
      <c r="O2" s="30"/>
      <c r="P2" s="4">
        <f>AVERAGE(P5:P46)</f>
        <v>54.439999999999991</v>
      </c>
      <c r="Q2" s="4">
        <f t="shared" ref="Q2:Z2" si="1">AVERAGE(Q5:Q46)</f>
        <v>48.783333333333331</v>
      </c>
      <c r="R2" s="4">
        <f t="shared" si="1"/>
        <v>48.86666666666666</v>
      </c>
      <c r="S2" s="4">
        <f t="shared" si="1"/>
        <v>62.560000000000009</v>
      </c>
      <c r="T2" s="4">
        <f t="shared" si="1"/>
        <v>81.883333333333312</v>
      </c>
      <c r="U2" s="4">
        <f t="shared" si="1"/>
        <v>85.686666666666667</v>
      </c>
      <c r="V2" s="4">
        <f t="shared" si="1"/>
        <v>87.546666666666681</v>
      </c>
      <c r="W2" s="4">
        <f t="shared" si="1"/>
        <v>80.253333333333345</v>
      </c>
      <c r="X2" s="4">
        <f t="shared" si="1"/>
        <v>111.8833333333333</v>
      </c>
      <c r="Y2" s="4">
        <f t="shared" si="1"/>
        <v>81.783333333333331</v>
      </c>
      <c r="Z2" s="4">
        <f t="shared" si="1"/>
        <v>84.946666666666673</v>
      </c>
      <c r="AA2" s="4">
        <f>AVERAGE(AA5:AA46)</f>
        <v>65.316666666666663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1.9</v>
      </c>
      <c r="C5" s="2">
        <v>7.4</v>
      </c>
      <c r="D5" s="2">
        <v>6.7</v>
      </c>
      <c r="E5" s="2">
        <v>13.1</v>
      </c>
      <c r="F5" s="2">
        <v>16.2</v>
      </c>
      <c r="G5" s="2">
        <v>18.600000000000001</v>
      </c>
      <c r="H5" s="2">
        <v>23.8</v>
      </c>
      <c r="I5" s="2">
        <v>20.399999999999999</v>
      </c>
      <c r="J5" s="2">
        <v>15.6</v>
      </c>
      <c r="K5" s="2">
        <v>13.3</v>
      </c>
      <c r="L5" s="2">
        <v>5.8</v>
      </c>
      <c r="M5" s="2">
        <v>2</v>
      </c>
      <c r="O5">
        <v>1995</v>
      </c>
      <c r="P5" s="2">
        <v>72.599999999999994</v>
      </c>
      <c r="Q5" s="2">
        <v>70.099999999999994</v>
      </c>
      <c r="R5" s="2">
        <v>70.2</v>
      </c>
      <c r="S5" s="2">
        <v>31.2</v>
      </c>
      <c r="T5" s="2">
        <v>98.4</v>
      </c>
      <c r="U5" s="2">
        <v>92.4</v>
      </c>
      <c r="V5" s="2">
        <v>91.2</v>
      </c>
      <c r="W5" s="2">
        <v>154.30000000000001</v>
      </c>
      <c r="X5" s="2">
        <v>154.9</v>
      </c>
      <c r="Y5" s="2">
        <v>6.6</v>
      </c>
      <c r="Z5" s="2">
        <v>40.5</v>
      </c>
      <c r="AA5" s="2">
        <v>79.7</v>
      </c>
    </row>
    <row r="6" spans="1:27" x14ac:dyDescent="0.25">
      <c r="A6">
        <v>1996</v>
      </c>
      <c r="B6" s="2">
        <v>0</v>
      </c>
      <c r="C6" s="2">
        <v>0.7</v>
      </c>
      <c r="D6" s="2">
        <v>4.5999999999999996</v>
      </c>
      <c r="E6" s="2">
        <v>12.1</v>
      </c>
      <c r="F6" s="2">
        <v>17.600000000000001</v>
      </c>
      <c r="G6" s="2">
        <v>21.1</v>
      </c>
      <c r="H6" s="2">
        <v>20.2</v>
      </c>
      <c r="I6" s="2">
        <v>20.8</v>
      </c>
      <c r="J6" s="2">
        <v>13.8</v>
      </c>
      <c r="K6" s="2">
        <v>12.6</v>
      </c>
      <c r="L6" s="2">
        <v>8.9</v>
      </c>
      <c r="M6" s="2">
        <v>-0.3</v>
      </c>
      <c r="O6">
        <v>1996</v>
      </c>
      <c r="P6" s="2">
        <v>80.3</v>
      </c>
      <c r="Q6" s="2">
        <v>37</v>
      </c>
      <c r="R6" s="2">
        <v>10.9</v>
      </c>
      <c r="S6" s="2">
        <v>90.7</v>
      </c>
      <c r="T6" s="2">
        <v>71.2</v>
      </c>
      <c r="U6" s="2">
        <v>59</v>
      </c>
      <c r="V6" s="2">
        <v>58.8</v>
      </c>
      <c r="W6" s="2">
        <v>132.6</v>
      </c>
      <c r="X6" s="2">
        <v>163.9</v>
      </c>
      <c r="Y6" s="2">
        <v>76.5</v>
      </c>
      <c r="Z6" s="2">
        <v>114.3</v>
      </c>
      <c r="AA6" s="2">
        <v>63.8</v>
      </c>
    </row>
    <row r="7" spans="1:27" x14ac:dyDescent="0.25">
      <c r="A7">
        <v>1997</v>
      </c>
      <c r="B7" s="2">
        <v>-0.3</v>
      </c>
      <c r="C7" s="2">
        <v>6</v>
      </c>
      <c r="D7" s="2">
        <v>8.3000000000000007</v>
      </c>
      <c r="E7" s="2">
        <v>9.3000000000000007</v>
      </c>
      <c r="F7" s="2">
        <v>17.8</v>
      </c>
      <c r="G7" s="2">
        <v>20.6</v>
      </c>
      <c r="H7" s="2">
        <v>21.4</v>
      </c>
      <c r="I7" s="2">
        <v>21.6</v>
      </c>
      <c r="J7" s="2">
        <v>17.899999999999999</v>
      </c>
      <c r="K7" s="2">
        <v>10.4</v>
      </c>
      <c r="L7" s="2">
        <v>6.7</v>
      </c>
      <c r="M7" s="2">
        <v>4.0999999999999996</v>
      </c>
      <c r="O7">
        <v>1997</v>
      </c>
      <c r="P7" s="2">
        <v>59.8</v>
      </c>
      <c r="Q7" s="2">
        <v>28</v>
      </c>
      <c r="R7" s="2">
        <v>31.5</v>
      </c>
      <c r="S7" s="2">
        <v>56.3</v>
      </c>
      <c r="T7" s="2">
        <v>69.8</v>
      </c>
      <c r="U7" s="2">
        <v>85.1</v>
      </c>
      <c r="V7" s="2">
        <v>69.7</v>
      </c>
      <c r="W7" s="2">
        <v>61.7</v>
      </c>
      <c r="X7" s="2">
        <v>25.5</v>
      </c>
      <c r="Y7" s="2">
        <v>49.4</v>
      </c>
      <c r="Z7" s="2">
        <v>103</v>
      </c>
      <c r="AA7" s="2">
        <v>83.6</v>
      </c>
    </row>
    <row r="8" spans="1:27" x14ac:dyDescent="0.25">
      <c r="A8">
        <v>1998</v>
      </c>
      <c r="B8" s="2">
        <v>5.0999999999999996</v>
      </c>
      <c r="C8" s="2">
        <v>7.7</v>
      </c>
      <c r="D8" s="2">
        <v>6.5</v>
      </c>
      <c r="E8" s="2">
        <v>13.6</v>
      </c>
      <c r="F8" s="2">
        <v>17.100000000000001</v>
      </c>
      <c r="G8" s="2">
        <v>21.3</v>
      </c>
      <c r="H8" s="2">
        <v>22.4</v>
      </c>
      <c r="I8" s="2">
        <v>22.5</v>
      </c>
      <c r="J8" s="2">
        <v>16.7</v>
      </c>
      <c r="K8" s="2">
        <v>12.6</v>
      </c>
      <c r="L8" s="2">
        <v>4.8</v>
      </c>
      <c r="M8" s="2">
        <v>-1.5</v>
      </c>
      <c r="O8">
        <v>1998</v>
      </c>
      <c r="P8" s="2">
        <v>16.899999999999999</v>
      </c>
      <c r="Q8" s="2">
        <v>1.4</v>
      </c>
      <c r="R8" s="2">
        <v>59.3</v>
      </c>
      <c r="S8" s="2">
        <v>74.3</v>
      </c>
      <c r="T8" s="2">
        <v>68</v>
      </c>
      <c r="U8" s="2">
        <v>124</v>
      </c>
      <c r="V8" s="2">
        <v>143.6</v>
      </c>
      <c r="W8" s="2">
        <v>94.4</v>
      </c>
      <c r="X8" s="2">
        <v>181.5</v>
      </c>
      <c r="Y8" s="2">
        <v>128</v>
      </c>
      <c r="Z8" s="2">
        <v>63</v>
      </c>
      <c r="AA8" s="2">
        <v>46.2</v>
      </c>
    </row>
    <row r="9" spans="1:27" x14ac:dyDescent="0.25">
      <c r="A9">
        <v>1999</v>
      </c>
      <c r="B9" s="2">
        <v>1.7</v>
      </c>
      <c r="C9" s="2">
        <v>3.2</v>
      </c>
      <c r="D9" s="2">
        <v>9.6</v>
      </c>
      <c r="E9" s="2">
        <v>13.5</v>
      </c>
      <c r="F9" s="2">
        <v>17.399999999999999</v>
      </c>
      <c r="G9" s="2">
        <v>20.7</v>
      </c>
      <c r="H9" s="2">
        <v>22.4</v>
      </c>
      <c r="I9" s="2">
        <v>21.6</v>
      </c>
      <c r="J9" s="2">
        <v>19.7</v>
      </c>
      <c r="K9" s="2">
        <v>13</v>
      </c>
      <c r="L9" s="2">
        <v>4.5999999999999996</v>
      </c>
      <c r="M9" s="2">
        <v>2.9</v>
      </c>
      <c r="O9">
        <v>1999</v>
      </c>
      <c r="P9" s="16">
        <v>44.5</v>
      </c>
      <c r="Q9" s="16">
        <v>72.400000000000006</v>
      </c>
      <c r="R9" s="16">
        <v>32.700000000000003</v>
      </c>
      <c r="S9" s="16">
        <v>58.3</v>
      </c>
      <c r="T9" s="16">
        <v>146.5</v>
      </c>
      <c r="U9" s="16">
        <v>64.900000000000006</v>
      </c>
      <c r="V9" s="16">
        <v>146.69999999999999</v>
      </c>
      <c r="W9" s="16">
        <v>80.599999999999994</v>
      </c>
      <c r="X9" s="16">
        <v>64.8</v>
      </c>
      <c r="Y9" s="16">
        <v>108</v>
      </c>
      <c r="Z9" s="16">
        <v>75.900000000000006</v>
      </c>
      <c r="AA9" s="16">
        <v>102.1</v>
      </c>
    </row>
    <row r="10" spans="1:27" x14ac:dyDescent="0.25">
      <c r="A10">
        <v>2000</v>
      </c>
      <c r="B10" s="2">
        <v>-0.2</v>
      </c>
      <c r="C10" s="2">
        <v>6.5</v>
      </c>
      <c r="D10" s="2">
        <v>8.9</v>
      </c>
      <c r="E10" s="2">
        <v>15.4</v>
      </c>
      <c r="F10" s="2">
        <v>18.5</v>
      </c>
      <c r="G10" s="2">
        <v>22.3</v>
      </c>
      <c r="H10" s="2">
        <v>21.5</v>
      </c>
      <c r="I10" s="2">
        <v>24.4</v>
      </c>
      <c r="J10" s="2">
        <v>17.8</v>
      </c>
      <c r="K10" s="2">
        <v>14.2</v>
      </c>
      <c r="L10" s="2">
        <v>10.5</v>
      </c>
      <c r="M10" s="2">
        <v>5.8</v>
      </c>
      <c r="O10">
        <v>2000</v>
      </c>
      <c r="P10" s="16">
        <v>18.8</v>
      </c>
      <c r="Q10" s="16">
        <v>21.9</v>
      </c>
      <c r="R10" s="16">
        <v>51.3</v>
      </c>
      <c r="S10" s="16">
        <v>59.6</v>
      </c>
      <c r="T10" s="16">
        <v>45.5</v>
      </c>
      <c r="U10" s="16">
        <v>44.2</v>
      </c>
      <c r="V10" s="16">
        <v>84.2</v>
      </c>
      <c r="W10" s="16">
        <v>0.9</v>
      </c>
      <c r="X10" s="16">
        <v>82.1</v>
      </c>
      <c r="Y10" s="16">
        <v>91.9</v>
      </c>
      <c r="Z10" s="16">
        <v>112.5</v>
      </c>
      <c r="AA10" s="16">
        <v>111.7</v>
      </c>
    </row>
    <row r="11" spans="1:27" x14ac:dyDescent="0.25">
      <c r="A11">
        <v>2001</v>
      </c>
      <c r="B11" s="2">
        <v>4.5999999999999996</v>
      </c>
      <c r="C11" s="2">
        <v>5.9</v>
      </c>
      <c r="D11" s="2">
        <v>10.9</v>
      </c>
      <c r="E11" s="2">
        <v>11.8</v>
      </c>
      <c r="F11" s="2">
        <v>18.7</v>
      </c>
      <c r="G11" s="2">
        <v>19.100000000000001</v>
      </c>
      <c r="H11" s="2">
        <v>22.9</v>
      </c>
      <c r="I11" s="2">
        <v>23.6</v>
      </c>
      <c r="J11" s="2">
        <v>15</v>
      </c>
      <c r="K11" s="2">
        <v>15.4</v>
      </c>
      <c r="L11" s="2">
        <v>4.7</v>
      </c>
      <c r="M11" s="2">
        <v>-0.7</v>
      </c>
      <c r="O11">
        <v>2001</v>
      </c>
      <c r="P11" s="16">
        <v>83.1</v>
      </c>
      <c r="Q11" s="16">
        <v>15.3</v>
      </c>
      <c r="R11" s="16">
        <v>100.8</v>
      </c>
      <c r="S11" s="16">
        <v>83.1</v>
      </c>
      <c r="T11" s="16">
        <v>56.1</v>
      </c>
      <c r="U11" s="16">
        <v>121.7</v>
      </c>
      <c r="V11" s="16">
        <v>54.6</v>
      </c>
      <c r="W11" s="16">
        <v>20.399999999999999</v>
      </c>
      <c r="X11" s="16">
        <v>177.3</v>
      </c>
      <c r="Y11" s="16">
        <v>9.1999999999999993</v>
      </c>
      <c r="Z11" s="16">
        <v>94.5</v>
      </c>
      <c r="AA11" s="16">
        <v>26.2</v>
      </c>
    </row>
    <row r="12" spans="1:27" x14ac:dyDescent="0.25">
      <c r="A12">
        <v>2002</v>
      </c>
      <c r="B12" s="6">
        <v>2.2000000000000002</v>
      </c>
      <c r="C12" s="6">
        <v>7.6</v>
      </c>
      <c r="D12" s="6">
        <v>10.3</v>
      </c>
      <c r="E12" s="6">
        <v>11.4</v>
      </c>
      <c r="F12" s="6">
        <v>18.899999999999999</v>
      </c>
      <c r="G12" s="6">
        <v>21.9</v>
      </c>
      <c r="H12" s="6">
        <v>22.5</v>
      </c>
      <c r="I12" s="6">
        <v>21.6</v>
      </c>
      <c r="J12" s="6">
        <v>16.100000000000001</v>
      </c>
      <c r="K12" s="6">
        <v>12.3</v>
      </c>
      <c r="L12" s="6">
        <v>10.8</v>
      </c>
      <c r="M12" s="6">
        <v>2.7</v>
      </c>
      <c r="O12">
        <v>2002</v>
      </c>
      <c r="P12" s="17">
        <v>25</v>
      </c>
      <c r="Q12" s="17">
        <v>47</v>
      </c>
      <c r="R12" s="17">
        <v>36</v>
      </c>
      <c r="S12" s="17">
        <v>157</v>
      </c>
      <c r="T12" s="17">
        <v>85</v>
      </c>
      <c r="U12" s="17">
        <v>70</v>
      </c>
      <c r="V12" s="17">
        <v>148</v>
      </c>
      <c r="W12" s="17">
        <v>151</v>
      </c>
      <c r="X12" s="17">
        <v>89</v>
      </c>
      <c r="Y12" s="17">
        <v>108</v>
      </c>
      <c r="Z12" s="17">
        <v>76</v>
      </c>
      <c r="AA12" s="17">
        <v>71</v>
      </c>
    </row>
    <row r="13" spans="1:27" x14ac:dyDescent="0.25">
      <c r="A13">
        <v>2003</v>
      </c>
      <c r="B13" s="6">
        <v>0.5</v>
      </c>
      <c r="C13" s="6">
        <v>-0.1</v>
      </c>
      <c r="D13" s="6">
        <v>8.9</v>
      </c>
      <c r="E13" s="6">
        <v>11.9</v>
      </c>
      <c r="F13" s="6">
        <v>20.399999999999999</v>
      </c>
      <c r="G13" s="6">
        <v>24.5</v>
      </c>
      <c r="H13" s="6">
        <v>23.6</v>
      </c>
      <c r="I13" s="6">
        <v>25.8</v>
      </c>
      <c r="J13" s="6">
        <v>17</v>
      </c>
      <c r="K13" s="6">
        <v>10.1</v>
      </c>
      <c r="L13" s="6">
        <v>9.4</v>
      </c>
      <c r="M13" s="6">
        <v>3</v>
      </c>
      <c r="O13">
        <v>2003</v>
      </c>
      <c r="P13" s="17">
        <v>73.099999999999994</v>
      </c>
      <c r="Q13" s="17">
        <v>30.5</v>
      </c>
      <c r="R13" s="17">
        <v>8.1</v>
      </c>
      <c r="S13" s="17">
        <v>28.9</v>
      </c>
      <c r="T13" s="17">
        <v>19.8</v>
      </c>
      <c r="U13" s="17">
        <v>75.2</v>
      </c>
      <c r="V13" s="17">
        <v>78.599999999999994</v>
      </c>
      <c r="W13" s="17">
        <v>17.399999999999999</v>
      </c>
      <c r="X13" s="17">
        <v>106.6</v>
      </c>
      <c r="Y13" s="17">
        <v>103.2</v>
      </c>
      <c r="Z13" s="17">
        <v>54.4</v>
      </c>
      <c r="AA13" s="17">
        <v>28.6</v>
      </c>
    </row>
    <row r="14" spans="1:27" x14ac:dyDescent="0.25">
      <c r="A14">
        <v>2004</v>
      </c>
      <c r="B14" s="7">
        <v>0.9</v>
      </c>
      <c r="C14" s="7">
        <v>4.0999999999999996</v>
      </c>
      <c r="D14" s="7">
        <v>6.7</v>
      </c>
      <c r="E14" s="7">
        <v>12.4</v>
      </c>
      <c r="F14" s="7">
        <v>15.6</v>
      </c>
      <c r="G14" s="7">
        <v>19.600000000000001</v>
      </c>
      <c r="H14" s="7">
        <v>21.7</v>
      </c>
      <c r="I14" s="7">
        <v>21.7</v>
      </c>
      <c r="J14" s="7">
        <v>17.100000000000001</v>
      </c>
      <c r="K14" s="7">
        <v>13.9</v>
      </c>
      <c r="L14" s="7">
        <v>7.7</v>
      </c>
      <c r="M14" s="7">
        <v>2.9</v>
      </c>
      <c r="O14">
        <v>2004</v>
      </c>
      <c r="P14" s="16">
        <v>63.4</v>
      </c>
      <c r="Q14" s="16">
        <v>53.2</v>
      </c>
      <c r="R14" s="16">
        <v>67.3</v>
      </c>
      <c r="S14" s="16">
        <v>126</v>
      </c>
      <c r="T14" s="16">
        <v>55.5</v>
      </c>
      <c r="U14" s="16">
        <v>91.7</v>
      </c>
      <c r="V14" s="16">
        <v>102.5</v>
      </c>
      <c r="W14" s="16">
        <v>60.4</v>
      </c>
      <c r="X14" s="16">
        <v>81.7</v>
      </c>
      <c r="Y14" s="16">
        <v>195.8</v>
      </c>
      <c r="Z14" s="16">
        <v>45.4</v>
      </c>
      <c r="AA14" s="16">
        <v>50</v>
      </c>
    </row>
    <row r="15" spans="1:27" x14ac:dyDescent="0.25">
      <c r="A15">
        <v>2005</v>
      </c>
      <c r="B15" s="7">
        <v>2</v>
      </c>
      <c r="C15" s="7">
        <v>-0.1</v>
      </c>
      <c r="D15" s="7">
        <v>6.8</v>
      </c>
      <c r="E15" s="7">
        <v>12.7</v>
      </c>
      <c r="F15" s="7">
        <v>17.5</v>
      </c>
      <c r="G15" s="7">
        <v>20.5</v>
      </c>
      <c r="H15" s="7">
        <v>22.1</v>
      </c>
      <c r="I15" s="7">
        <v>19.2</v>
      </c>
      <c r="J15" s="7">
        <v>17.5</v>
      </c>
      <c r="K15" s="7">
        <v>13.1</v>
      </c>
      <c r="L15" s="7">
        <v>6</v>
      </c>
      <c r="M15" s="7">
        <v>2.6</v>
      </c>
      <c r="O15">
        <v>2005</v>
      </c>
      <c r="P15" s="16">
        <v>22</v>
      </c>
      <c r="Q15" s="16">
        <v>71.7</v>
      </c>
      <c r="R15" s="16">
        <v>47.1</v>
      </c>
      <c r="S15" s="16">
        <v>62.2</v>
      </c>
      <c r="T15" s="16">
        <v>73.099999999999994</v>
      </c>
      <c r="U15" s="16">
        <v>68.099999999999994</v>
      </c>
      <c r="V15" s="16">
        <v>164.4</v>
      </c>
      <c r="W15" s="16">
        <v>175.7</v>
      </c>
      <c r="X15" s="16">
        <v>72</v>
      </c>
      <c r="Y15" s="16">
        <v>31.7</v>
      </c>
      <c r="Z15" s="16">
        <v>86.9</v>
      </c>
      <c r="AA15" s="16">
        <v>112.4</v>
      </c>
    </row>
    <row r="16" spans="1:27" x14ac:dyDescent="0.25">
      <c r="A16">
        <v>2006</v>
      </c>
      <c r="B16" s="7">
        <v>-0.1</v>
      </c>
      <c r="C16" s="7">
        <v>2.8</v>
      </c>
      <c r="D16" s="7">
        <v>6.4</v>
      </c>
      <c r="E16" s="7">
        <v>13.5</v>
      </c>
      <c r="F16" s="7">
        <v>16.7</v>
      </c>
      <c r="G16" s="7">
        <v>21.2</v>
      </c>
      <c r="H16" s="7">
        <v>24.7</v>
      </c>
      <c r="I16" s="7">
        <v>19.3</v>
      </c>
      <c r="J16" s="7">
        <v>18.8</v>
      </c>
      <c r="K16" s="7">
        <v>14.6</v>
      </c>
      <c r="L16" s="7">
        <v>9.9</v>
      </c>
      <c r="M16" s="7">
        <v>5.2</v>
      </c>
      <c r="O16">
        <v>2006</v>
      </c>
      <c r="P16" s="16">
        <v>39.4</v>
      </c>
      <c r="Q16" s="16">
        <v>42.3</v>
      </c>
      <c r="R16" s="16">
        <v>56.4</v>
      </c>
      <c r="S16" s="16">
        <v>110.9</v>
      </c>
      <c r="T16" s="16">
        <v>84.6</v>
      </c>
      <c r="U16" s="16">
        <v>36.700000000000003</v>
      </c>
      <c r="V16" s="16">
        <v>38.299999999999997</v>
      </c>
      <c r="W16" s="16">
        <v>183.8</v>
      </c>
      <c r="X16" s="16">
        <v>63.2</v>
      </c>
      <c r="Y16" s="16">
        <v>17.8</v>
      </c>
      <c r="Z16" s="16">
        <v>46.4</v>
      </c>
      <c r="AA16" s="16">
        <v>34.1</v>
      </c>
    </row>
    <row r="17" spans="1:27" x14ac:dyDescent="0.25">
      <c r="A17">
        <v>2007</v>
      </c>
      <c r="B17" s="7">
        <v>7.5</v>
      </c>
      <c r="C17" s="7">
        <v>8.1</v>
      </c>
      <c r="D17" s="7">
        <v>10.199999999999999</v>
      </c>
      <c r="E17" s="7">
        <v>15.9</v>
      </c>
      <c r="F17" s="7">
        <v>18.8</v>
      </c>
      <c r="G17" s="7">
        <v>22.7</v>
      </c>
      <c r="H17" s="7">
        <v>23.8</v>
      </c>
      <c r="I17" s="7">
        <v>22.1</v>
      </c>
      <c r="J17" s="7">
        <v>15.5</v>
      </c>
      <c r="K17" s="7">
        <v>11.2</v>
      </c>
      <c r="L17" s="7">
        <v>6.1</v>
      </c>
      <c r="M17" s="7">
        <v>1.4</v>
      </c>
      <c r="O17">
        <v>2007</v>
      </c>
      <c r="P17" s="16">
        <v>62.8</v>
      </c>
      <c r="Q17" s="16">
        <v>42.2</v>
      </c>
      <c r="R17" s="16">
        <v>75</v>
      </c>
      <c r="S17" s="16">
        <v>4.2</v>
      </c>
      <c r="T17" s="16">
        <v>64.599999999999994</v>
      </c>
      <c r="U17" s="16">
        <v>86.1</v>
      </c>
      <c r="V17" s="16">
        <v>66.5</v>
      </c>
      <c r="W17" s="16">
        <v>109.7</v>
      </c>
      <c r="X17" s="16">
        <v>160.19999999999999</v>
      </c>
      <c r="Y17" s="16">
        <v>109.7</v>
      </c>
      <c r="Z17" s="16">
        <v>57.5</v>
      </c>
      <c r="AA17" s="16">
        <v>57.4</v>
      </c>
    </row>
    <row r="18" spans="1:27" x14ac:dyDescent="0.25">
      <c r="A18">
        <v>2008</v>
      </c>
      <c r="B18" s="7">
        <v>3.8</v>
      </c>
      <c r="C18" s="7">
        <v>6.8</v>
      </c>
      <c r="D18" s="7">
        <v>8.3000000000000007</v>
      </c>
      <c r="E18" s="7">
        <v>13</v>
      </c>
      <c r="F18" s="7">
        <v>18.2</v>
      </c>
      <c r="G18" s="7">
        <v>21.6</v>
      </c>
      <c r="H18" s="7">
        <v>22.8</v>
      </c>
      <c r="I18" s="7">
        <v>22.5</v>
      </c>
      <c r="J18" s="7">
        <v>16.5</v>
      </c>
      <c r="K18" s="7">
        <v>14</v>
      </c>
      <c r="L18" s="7">
        <v>8.8000000000000007</v>
      </c>
      <c r="M18" s="7">
        <v>4.3</v>
      </c>
      <c r="O18">
        <v>2008</v>
      </c>
      <c r="P18" s="16">
        <v>8.1999999999999993</v>
      </c>
      <c r="Q18" s="16">
        <v>9.1</v>
      </c>
      <c r="R18" s="16">
        <v>104.5</v>
      </c>
      <c r="S18" s="16">
        <v>33.9</v>
      </c>
      <c r="T18" s="16">
        <v>48.1</v>
      </c>
      <c r="U18" s="16">
        <v>123.5</v>
      </c>
      <c r="V18" s="16">
        <v>92</v>
      </c>
      <c r="W18" s="16">
        <v>58.3</v>
      </c>
      <c r="X18" s="16">
        <v>48.3</v>
      </c>
      <c r="Y18" s="16">
        <v>69.7</v>
      </c>
      <c r="Z18" s="16">
        <v>75.8</v>
      </c>
      <c r="AA18" s="16">
        <v>97.1</v>
      </c>
    </row>
    <row r="19" spans="1:27" x14ac:dyDescent="0.25">
      <c r="A19">
        <v>2009</v>
      </c>
      <c r="B19" s="7">
        <v>0</v>
      </c>
      <c r="C19" s="7">
        <v>4.0999999999999996</v>
      </c>
      <c r="D19" s="7">
        <v>8.4</v>
      </c>
      <c r="E19" s="7">
        <v>15.8</v>
      </c>
      <c r="F19" s="7">
        <v>19.2</v>
      </c>
      <c r="G19" s="7">
        <v>20.2</v>
      </c>
      <c r="H19" s="7">
        <v>23.2</v>
      </c>
      <c r="I19" s="7">
        <v>23.6</v>
      </c>
      <c r="J19" s="7">
        <v>19.7</v>
      </c>
      <c r="K19" s="7">
        <v>12.7</v>
      </c>
      <c r="L19" s="7">
        <v>9.3000000000000007</v>
      </c>
      <c r="M19" s="7">
        <v>4.0999999999999996</v>
      </c>
      <c r="O19">
        <v>2009</v>
      </c>
      <c r="P19" s="16">
        <v>88</v>
      </c>
      <c r="Q19" s="16">
        <v>38.9</v>
      </c>
      <c r="R19" s="16">
        <v>43.4</v>
      </c>
      <c r="S19" s="16">
        <v>66.3</v>
      </c>
      <c r="T19" s="16">
        <v>27.5</v>
      </c>
      <c r="U19" s="16">
        <v>81.900000000000006</v>
      </c>
      <c r="V19" s="16">
        <v>80.099999999999994</v>
      </c>
      <c r="W19" s="16">
        <v>97.3</v>
      </c>
      <c r="X19" s="16">
        <v>28.3</v>
      </c>
      <c r="Y19" s="16">
        <v>72.2</v>
      </c>
      <c r="Z19" s="16">
        <v>87.8</v>
      </c>
      <c r="AA19" s="16">
        <v>83.1</v>
      </c>
    </row>
    <row r="20" spans="1:27" x14ac:dyDescent="0.25">
      <c r="A20">
        <v>2010</v>
      </c>
      <c r="B20" s="7">
        <v>0.3</v>
      </c>
      <c r="C20" s="7">
        <v>3.6</v>
      </c>
      <c r="D20" s="7">
        <v>7.8</v>
      </c>
      <c r="E20" s="7">
        <v>13.3</v>
      </c>
      <c r="F20" s="7">
        <v>16.7</v>
      </c>
      <c r="G20" s="7">
        <v>21</v>
      </c>
      <c r="H20" s="7">
        <v>24.1</v>
      </c>
      <c r="I20" s="7">
        <v>21.7</v>
      </c>
      <c r="J20" s="7">
        <v>15.9</v>
      </c>
      <c r="K20" s="7">
        <v>10.6</v>
      </c>
      <c r="L20" s="7">
        <v>9.9</v>
      </c>
      <c r="M20" s="7">
        <v>1.7</v>
      </c>
      <c r="O20">
        <v>2010</v>
      </c>
      <c r="P20" s="16">
        <v>86.1</v>
      </c>
      <c r="Q20" s="16">
        <v>74.900000000000006</v>
      </c>
      <c r="R20" s="16">
        <v>60.3</v>
      </c>
      <c r="S20" s="16">
        <v>65.7</v>
      </c>
      <c r="T20" s="16">
        <v>124</v>
      </c>
      <c r="U20" s="16">
        <v>90.1</v>
      </c>
      <c r="V20" s="16">
        <v>122</v>
      </c>
      <c r="W20" s="16">
        <v>113.9</v>
      </c>
      <c r="X20" s="16">
        <v>192.8</v>
      </c>
      <c r="Y20" s="16">
        <v>38.9</v>
      </c>
      <c r="Z20" s="16">
        <v>119.7</v>
      </c>
      <c r="AA20" s="16">
        <v>66.7</v>
      </c>
    </row>
    <row r="21" spans="1:27" x14ac:dyDescent="0.25">
      <c r="A21">
        <v>2011</v>
      </c>
      <c r="B21" s="7">
        <v>3.1</v>
      </c>
      <c r="C21" s="7">
        <v>2.9</v>
      </c>
      <c r="D21" s="7">
        <v>8.6999999999999993</v>
      </c>
      <c r="E21" s="7">
        <v>14.9</v>
      </c>
      <c r="F21" s="7">
        <v>18.100000000000001</v>
      </c>
      <c r="G21" s="7">
        <v>21.6</v>
      </c>
      <c r="H21" s="7">
        <v>22.9</v>
      </c>
      <c r="I21" s="7">
        <v>24.3</v>
      </c>
      <c r="J21" s="7">
        <v>21.4</v>
      </c>
      <c r="K21" s="7">
        <v>11.7</v>
      </c>
      <c r="L21" s="7">
        <v>4.3</v>
      </c>
      <c r="M21" s="7">
        <v>4.8</v>
      </c>
      <c r="O21">
        <v>2011</v>
      </c>
      <c r="P21" s="16">
        <v>13.6</v>
      </c>
      <c r="Q21" s="16">
        <v>13.3</v>
      </c>
      <c r="R21" s="16">
        <v>39.6</v>
      </c>
      <c r="S21" s="16">
        <v>40.5</v>
      </c>
      <c r="T21" s="16">
        <v>37.1</v>
      </c>
      <c r="U21" s="16">
        <v>85.3</v>
      </c>
      <c r="V21" s="16">
        <v>75</v>
      </c>
      <c r="W21" s="16">
        <v>16.399999999999999</v>
      </c>
      <c r="X21" s="16">
        <v>57.3</v>
      </c>
      <c r="Y21" s="16">
        <v>72</v>
      </c>
      <c r="Z21" s="16">
        <v>0.7</v>
      </c>
      <c r="AA21" s="16">
        <v>70</v>
      </c>
    </row>
    <row r="22" spans="1:27" x14ac:dyDescent="0.25">
      <c r="A22">
        <v>2012</v>
      </c>
      <c r="B22" s="7">
        <v>3.8</v>
      </c>
      <c r="C22" s="7">
        <v>-0.2</v>
      </c>
      <c r="D22" s="7">
        <v>11.5</v>
      </c>
      <c r="E22" s="7">
        <v>13.3</v>
      </c>
      <c r="F22" s="7">
        <v>17.5</v>
      </c>
      <c r="G22" s="7">
        <v>22.9</v>
      </c>
      <c r="H22" s="7">
        <v>25</v>
      </c>
      <c r="I22" s="7">
        <v>25.3</v>
      </c>
      <c r="J22" s="7">
        <v>18.899999999999999</v>
      </c>
      <c r="K22" s="7">
        <v>12.9</v>
      </c>
      <c r="L22" s="7">
        <v>10</v>
      </c>
      <c r="M22" s="7">
        <v>2.7</v>
      </c>
      <c r="O22">
        <v>2012</v>
      </c>
      <c r="P22" s="16">
        <v>17.3</v>
      </c>
      <c r="Q22" s="16">
        <v>42.2</v>
      </c>
      <c r="R22" s="16">
        <v>4.3</v>
      </c>
      <c r="S22" s="16">
        <v>45.6</v>
      </c>
      <c r="T22" s="16">
        <v>89.8</v>
      </c>
      <c r="U22" s="16">
        <v>144</v>
      </c>
      <c r="V22" s="16">
        <v>39.799999999999997</v>
      </c>
      <c r="W22" s="16">
        <v>14.7</v>
      </c>
      <c r="X22" s="16">
        <v>131.1</v>
      </c>
      <c r="Y22" s="16">
        <v>96.3</v>
      </c>
      <c r="Z22" s="16">
        <v>111.1</v>
      </c>
      <c r="AA22" s="16">
        <v>76.5</v>
      </c>
    </row>
    <row r="23" spans="1:27" x14ac:dyDescent="0.25">
      <c r="A23">
        <v>2013</v>
      </c>
      <c r="B23" s="7">
        <v>2.4</v>
      </c>
      <c r="C23" s="7">
        <v>2.7</v>
      </c>
      <c r="D23" s="7">
        <v>5.8</v>
      </c>
      <c r="E23" s="7">
        <v>14.1</v>
      </c>
      <c r="F23" s="7">
        <v>16.8</v>
      </c>
      <c r="G23" s="7">
        <v>20.8</v>
      </c>
      <c r="H23" s="7">
        <v>24.5</v>
      </c>
      <c r="I23" s="7">
        <v>23.8</v>
      </c>
      <c r="J23" s="7">
        <v>16.8</v>
      </c>
      <c r="K23" s="7">
        <v>14.3</v>
      </c>
      <c r="L23" s="7">
        <v>8.1</v>
      </c>
      <c r="M23" s="7">
        <v>4.4000000000000004</v>
      </c>
      <c r="O23">
        <v>2013</v>
      </c>
      <c r="P23" s="16">
        <v>147.69999999999999</v>
      </c>
      <c r="Q23" s="16">
        <v>104.8</v>
      </c>
      <c r="R23" s="16">
        <v>126.2</v>
      </c>
      <c r="S23" s="16">
        <v>51.3</v>
      </c>
      <c r="T23" s="16">
        <v>113</v>
      </c>
      <c r="U23" s="16">
        <v>71.400000000000006</v>
      </c>
      <c r="V23" s="16">
        <v>32.299999999999997</v>
      </c>
      <c r="W23" s="16">
        <v>111.4</v>
      </c>
      <c r="X23" s="16">
        <v>118</v>
      </c>
      <c r="Y23" s="16">
        <v>23.6</v>
      </c>
      <c r="Z23" s="16">
        <v>180.5</v>
      </c>
      <c r="AA23" s="16">
        <v>12.2</v>
      </c>
    </row>
    <row r="24" spans="1:27" x14ac:dyDescent="0.25">
      <c r="A24">
        <v>2014</v>
      </c>
      <c r="B24" s="7">
        <v>6.2</v>
      </c>
      <c r="C24" s="7">
        <v>6.1</v>
      </c>
      <c r="D24" s="7">
        <v>11.9</v>
      </c>
      <c r="E24" s="7">
        <v>14.1</v>
      </c>
      <c r="F24" s="7">
        <v>16.3</v>
      </c>
      <c r="G24" s="7">
        <v>21.1</v>
      </c>
      <c r="H24" s="7">
        <v>22.4</v>
      </c>
      <c r="I24" s="7">
        <v>20.9</v>
      </c>
      <c r="J24" s="7">
        <v>16.899999999999999</v>
      </c>
      <c r="K24" s="7">
        <v>14.4</v>
      </c>
      <c r="L24" s="7">
        <v>9.8000000000000007</v>
      </c>
      <c r="M24" s="7">
        <v>5.3</v>
      </c>
      <c r="O24">
        <v>2014</v>
      </c>
      <c r="P24" s="16">
        <v>52.2</v>
      </c>
      <c r="Q24" s="16">
        <v>130</v>
      </c>
      <c r="R24" s="16">
        <v>22.7</v>
      </c>
      <c r="S24" s="16">
        <v>71.3</v>
      </c>
      <c r="T24" s="16">
        <v>104</v>
      </c>
      <c r="U24" s="16">
        <v>137.19999999999999</v>
      </c>
      <c r="V24" s="16">
        <v>94.8</v>
      </c>
      <c r="W24" s="16">
        <v>120.7</v>
      </c>
      <c r="X24" s="16">
        <v>207.7</v>
      </c>
      <c r="Y24" s="16">
        <v>126.5</v>
      </c>
      <c r="Z24" s="16">
        <v>90.9</v>
      </c>
      <c r="AA24" s="16">
        <v>75.8</v>
      </c>
    </row>
    <row r="25" spans="1:27" x14ac:dyDescent="0.25">
      <c r="A25">
        <v>2015</v>
      </c>
      <c r="B25" s="7">
        <v>4.3</v>
      </c>
      <c r="C25" s="7">
        <v>3.6</v>
      </c>
      <c r="D25" s="7">
        <v>9</v>
      </c>
      <c r="E25" s="7">
        <v>12.9</v>
      </c>
      <c r="F25" s="7">
        <v>18.3</v>
      </c>
      <c r="G25" s="7">
        <v>21.6</v>
      </c>
      <c r="H25" s="7">
        <v>25.4</v>
      </c>
      <c r="I25" s="7">
        <v>24.1</v>
      </c>
      <c r="J25" s="7">
        <v>18.3</v>
      </c>
      <c r="K25" s="7">
        <v>12</v>
      </c>
      <c r="L25" s="7">
        <v>9.9</v>
      </c>
      <c r="M25" s="7">
        <v>4.8</v>
      </c>
      <c r="O25">
        <v>2015</v>
      </c>
      <c r="P25" s="16">
        <v>51.2</v>
      </c>
      <c r="Q25" s="16">
        <v>61.5</v>
      </c>
      <c r="R25" s="16">
        <v>22.8</v>
      </c>
      <c r="S25" s="16">
        <v>24.4</v>
      </c>
      <c r="T25" s="16">
        <v>121.5</v>
      </c>
      <c r="U25" s="16">
        <v>64.599999999999994</v>
      </c>
      <c r="V25" s="16">
        <v>74.400000000000006</v>
      </c>
      <c r="W25" s="16">
        <v>75.2</v>
      </c>
      <c r="X25" s="16">
        <v>95.6</v>
      </c>
      <c r="Y25" s="16">
        <v>191.7</v>
      </c>
      <c r="Z25" s="16">
        <v>40.700000000000003</v>
      </c>
      <c r="AA25" s="16">
        <v>0.3</v>
      </c>
    </row>
    <row r="26" spans="1:27" x14ac:dyDescent="0.25">
      <c r="A26">
        <v>2016</v>
      </c>
      <c r="B26" s="7">
        <v>3</v>
      </c>
      <c r="C26" s="7">
        <v>7.4</v>
      </c>
      <c r="D26" s="7">
        <v>8.8000000000000007</v>
      </c>
      <c r="E26" s="7">
        <v>13.8</v>
      </c>
      <c r="F26" s="7">
        <v>16.7</v>
      </c>
      <c r="G26" s="7">
        <v>21.5</v>
      </c>
      <c r="H26" s="7">
        <v>24.2</v>
      </c>
      <c r="I26" s="7">
        <v>21.8</v>
      </c>
      <c r="J26" s="7">
        <v>19.7</v>
      </c>
      <c r="K26" s="7">
        <v>11.2</v>
      </c>
      <c r="L26" s="7">
        <v>8</v>
      </c>
      <c r="M26" s="7">
        <v>1</v>
      </c>
      <c r="O26">
        <v>2016</v>
      </c>
      <c r="P26" s="16">
        <v>67.900000000000006</v>
      </c>
      <c r="Q26" s="16">
        <v>119.8</v>
      </c>
      <c r="R26" s="16">
        <v>45.4</v>
      </c>
      <c r="S26" s="16">
        <v>47.6</v>
      </c>
      <c r="T26" s="16">
        <v>101.6</v>
      </c>
      <c r="U26" s="16">
        <v>138.5</v>
      </c>
      <c r="V26" s="16">
        <v>51.6</v>
      </c>
      <c r="W26" s="16">
        <v>48.2</v>
      </c>
      <c r="X26" s="16">
        <v>43.2</v>
      </c>
      <c r="Y26" s="16">
        <v>102</v>
      </c>
      <c r="Z26" s="16">
        <v>85.9</v>
      </c>
      <c r="AA26" s="16">
        <v>2.1</v>
      </c>
    </row>
    <row r="27" spans="1:27" x14ac:dyDescent="0.25">
      <c r="A27">
        <v>2017</v>
      </c>
      <c r="B27" s="7">
        <v>-2.2999999999999998</v>
      </c>
      <c r="C27" s="7">
        <v>6.2</v>
      </c>
      <c r="D27" s="7">
        <v>11.8</v>
      </c>
      <c r="E27" s="7">
        <v>13.3</v>
      </c>
      <c r="F27" s="7">
        <v>18.600000000000001</v>
      </c>
      <c r="G27" s="7">
        <v>23.5</v>
      </c>
      <c r="H27" s="7">
        <v>25</v>
      </c>
      <c r="I27" s="7">
        <v>24.8</v>
      </c>
      <c r="J27" s="7">
        <v>15.9</v>
      </c>
      <c r="K27" s="7">
        <v>13.3</v>
      </c>
      <c r="L27" s="7">
        <v>8.1999999999999993</v>
      </c>
      <c r="M27" s="7">
        <v>4.9000000000000004</v>
      </c>
      <c r="O27">
        <v>2017</v>
      </c>
      <c r="P27" s="17">
        <v>31.6</v>
      </c>
      <c r="Q27" s="17">
        <v>42.8</v>
      </c>
      <c r="R27" s="17">
        <v>14.7</v>
      </c>
      <c r="S27" s="17">
        <v>47.9</v>
      </c>
      <c r="T27" s="17">
        <v>35.6</v>
      </c>
      <c r="U27" s="17">
        <v>99.9</v>
      </c>
      <c r="V27" s="17">
        <v>53.4</v>
      </c>
      <c r="W27" s="17">
        <v>53.7</v>
      </c>
      <c r="X27" s="17">
        <v>236.1</v>
      </c>
      <c r="Y27" s="17">
        <v>69.3</v>
      </c>
      <c r="Z27" s="17">
        <v>112.8</v>
      </c>
      <c r="AA27" s="17">
        <v>90.7</v>
      </c>
    </row>
    <row r="28" spans="1:27" x14ac:dyDescent="0.25">
      <c r="A28">
        <v>2018</v>
      </c>
      <c r="B28" s="7">
        <v>6.3</v>
      </c>
      <c r="C28" s="7">
        <v>0.9</v>
      </c>
      <c r="D28" s="7">
        <v>5.8</v>
      </c>
      <c r="E28" s="7">
        <v>17.3</v>
      </c>
      <c r="F28" s="7">
        <v>20.399999999999999</v>
      </c>
      <c r="G28" s="7">
        <v>22.4</v>
      </c>
      <c r="H28" s="7">
        <v>23.6</v>
      </c>
      <c r="I28" s="7">
        <v>25</v>
      </c>
      <c r="J28" s="7">
        <v>19.2</v>
      </c>
      <c r="K28" s="7">
        <v>15</v>
      </c>
      <c r="L28" s="7">
        <v>8.8000000000000007</v>
      </c>
      <c r="M28" s="7">
        <v>4.2</v>
      </c>
      <c r="O28">
        <v>2018</v>
      </c>
      <c r="P28" s="17">
        <v>55.7</v>
      </c>
      <c r="Q28" s="17">
        <v>102.3</v>
      </c>
      <c r="R28" s="17">
        <v>72.599999999999994</v>
      </c>
      <c r="S28" s="17">
        <v>59.5</v>
      </c>
      <c r="T28" s="17">
        <v>108.3</v>
      </c>
      <c r="U28" s="17">
        <v>66.599999999999994</v>
      </c>
      <c r="V28" s="17">
        <v>102.1</v>
      </c>
      <c r="W28" s="17">
        <v>44.3</v>
      </c>
      <c r="X28" s="17">
        <v>54.6</v>
      </c>
      <c r="Y28" s="17">
        <v>65.599999999999994</v>
      </c>
      <c r="Z28" s="17">
        <v>77.5</v>
      </c>
      <c r="AA28" s="17">
        <v>17.5</v>
      </c>
    </row>
    <row r="29" spans="1:27" x14ac:dyDescent="0.25">
      <c r="A29">
        <v>2019</v>
      </c>
      <c r="B29" s="7">
        <v>2.2999999999999998</v>
      </c>
      <c r="C29" s="7">
        <v>7</v>
      </c>
      <c r="D29" s="7">
        <v>11.1</v>
      </c>
      <c r="E29" s="7">
        <v>13.6</v>
      </c>
      <c r="F29" s="7">
        <v>14.3</v>
      </c>
      <c r="G29" s="7">
        <v>24.8</v>
      </c>
      <c r="H29" s="7">
        <v>24.1</v>
      </c>
      <c r="I29" s="7">
        <v>24.4</v>
      </c>
      <c r="J29" s="7">
        <v>18.399999999999999</v>
      </c>
      <c r="K29" s="7">
        <v>14.7</v>
      </c>
      <c r="L29" s="7">
        <v>10.1</v>
      </c>
      <c r="M29" s="7">
        <v>5.8</v>
      </c>
      <c r="O29">
        <v>2019</v>
      </c>
      <c r="P29" s="16">
        <v>35.299999999999997</v>
      </c>
      <c r="Q29" s="16">
        <v>16.899999999999999</v>
      </c>
      <c r="R29" s="16">
        <v>39.5</v>
      </c>
      <c r="S29" s="16">
        <v>85.2</v>
      </c>
      <c r="T29" s="16">
        <v>123.1</v>
      </c>
      <c r="U29" s="16">
        <v>83.9</v>
      </c>
      <c r="V29" s="16">
        <v>65.8</v>
      </c>
      <c r="W29" s="16">
        <v>54.6</v>
      </c>
      <c r="X29" s="16">
        <v>131.6</v>
      </c>
      <c r="Y29" s="16">
        <v>39.5</v>
      </c>
      <c r="Z29" s="16">
        <v>181.4</v>
      </c>
      <c r="AA29" s="16">
        <v>96</v>
      </c>
    </row>
    <row r="30" spans="1:27" x14ac:dyDescent="0.25">
      <c r="A30">
        <v>2020</v>
      </c>
      <c r="B30" s="7">
        <v>2.8</v>
      </c>
      <c r="C30" s="7">
        <v>8.6999999999999993</v>
      </c>
      <c r="D30" s="7"/>
      <c r="E30" s="7"/>
      <c r="F30" s="7"/>
      <c r="G30" s="7"/>
      <c r="H30" s="7"/>
      <c r="I30" s="7">
        <v>23.7</v>
      </c>
      <c r="J30" s="7">
        <v>18.899999999999999</v>
      </c>
      <c r="K30" s="7">
        <v>13.2</v>
      </c>
      <c r="L30" s="7">
        <v>6.3</v>
      </c>
      <c r="M30" s="7">
        <v>4.3</v>
      </c>
      <c r="O30">
        <v>2020</v>
      </c>
      <c r="P30" s="16">
        <v>6</v>
      </c>
      <c r="Q30" s="16">
        <v>37.299999999999997</v>
      </c>
      <c r="R30" s="16">
        <v>24.7</v>
      </c>
      <c r="S30" s="16">
        <v>27.7</v>
      </c>
      <c r="T30" s="16">
        <v>89.3</v>
      </c>
      <c r="U30" s="16">
        <v>106.7</v>
      </c>
      <c r="V30" s="16">
        <v>188.3</v>
      </c>
      <c r="W30" s="16">
        <v>90.5</v>
      </c>
      <c r="X30" s="16">
        <v>98.1</v>
      </c>
      <c r="Y30" s="16">
        <v>182.8</v>
      </c>
      <c r="Z30" s="16">
        <v>36.9</v>
      </c>
      <c r="AA30" s="16">
        <v>83.7</v>
      </c>
    </row>
    <row r="31" spans="1:27" x14ac:dyDescent="0.25">
      <c r="A31">
        <v>2021</v>
      </c>
      <c r="B31" s="7">
        <v>3.4</v>
      </c>
      <c r="C31" s="7">
        <v>6.9</v>
      </c>
      <c r="D31" s="7">
        <v>8.1</v>
      </c>
      <c r="E31" s="7">
        <v>10.3</v>
      </c>
      <c r="F31" s="7">
        <v>15.1</v>
      </c>
      <c r="G31" s="7">
        <v>24.3</v>
      </c>
      <c r="H31" s="7">
        <v>25.1</v>
      </c>
      <c r="I31" s="7">
        <v>22.8</v>
      </c>
      <c r="J31" s="7">
        <v>19.2</v>
      </c>
      <c r="K31" s="7">
        <v>11</v>
      </c>
      <c r="L31" s="7">
        <v>7.1</v>
      </c>
      <c r="M31" s="7">
        <v>4.2</v>
      </c>
      <c r="O31">
        <v>2021</v>
      </c>
      <c r="P31" s="16">
        <v>68.900000000000006</v>
      </c>
      <c r="Q31" s="16">
        <v>31.4</v>
      </c>
      <c r="R31" s="16">
        <v>29.8</v>
      </c>
      <c r="S31" s="16">
        <v>57</v>
      </c>
      <c r="T31" s="16">
        <v>117.7</v>
      </c>
      <c r="U31" s="16">
        <v>32.4</v>
      </c>
      <c r="V31" s="16">
        <v>68.8</v>
      </c>
      <c r="W31" s="16">
        <v>40.5</v>
      </c>
      <c r="X31" s="16">
        <v>33.6</v>
      </c>
      <c r="Y31" s="16">
        <v>74.5</v>
      </c>
      <c r="Z31" s="16">
        <v>91.6</v>
      </c>
      <c r="AA31" s="16">
        <v>79.099999999999994</v>
      </c>
    </row>
    <row r="32" spans="1:27" x14ac:dyDescent="0.25">
      <c r="A32">
        <v>2022</v>
      </c>
      <c r="B32" s="7">
        <v>3.1</v>
      </c>
      <c r="C32" s="7">
        <v>6.9</v>
      </c>
      <c r="D32" s="7">
        <v>8.1999999999999993</v>
      </c>
      <c r="E32" s="7">
        <v>11.9</v>
      </c>
      <c r="F32" s="7">
        <v>19.8</v>
      </c>
      <c r="G32" s="7">
        <v>24.2</v>
      </c>
      <c r="H32" s="7">
        <v>25.1</v>
      </c>
      <c r="I32" s="7">
        <v>24.4</v>
      </c>
      <c r="J32" s="7">
        <v>17.399999999999999</v>
      </c>
      <c r="K32" s="7">
        <v>15.1</v>
      </c>
      <c r="L32" s="7">
        <v>8.6</v>
      </c>
      <c r="M32" s="7">
        <v>5</v>
      </c>
      <c r="O32">
        <v>2022</v>
      </c>
      <c r="P32" s="16">
        <v>26.1</v>
      </c>
      <c r="Q32" s="16">
        <v>38.9</v>
      </c>
      <c r="R32" s="16">
        <v>9.1</v>
      </c>
      <c r="S32" s="16">
        <v>85.2</v>
      </c>
      <c r="T32" s="16">
        <v>55.4</v>
      </c>
      <c r="U32" s="16">
        <v>56</v>
      </c>
      <c r="V32" s="16">
        <v>51.5</v>
      </c>
      <c r="W32" s="16">
        <v>18.399999999999999</v>
      </c>
      <c r="X32" s="16">
        <v>235</v>
      </c>
      <c r="Y32" s="16">
        <v>22.5</v>
      </c>
      <c r="Z32" s="16">
        <v>93.6</v>
      </c>
      <c r="AA32" s="16">
        <v>107.1</v>
      </c>
    </row>
    <row r="33" spans="1:27" x14ac:dyDescent="0.25">
      <c r="A33">
        <v>2023</v>
      </c>
      <c r="B33" s="7">
        <v>5.6</v>
      </c>
      <c r="C33" s="7">
        <v>5.4</v>
      </c>
      <c r="D33" s="7">
        <v>10</v>
      </c>
      <c r="E33" s="7">
        <v>11.4</v>
      </c>
      <c r="F33" s="7">
        <v>16.899999999999999</v>
      </c>
      <c r="G33" s="7">
        <v>21.7</v>
      </c>
      <c r="H33" s="7">
        <v>24.2</v>
      </c>
      <c r="I33" s="7">
        <v>23</v>
      </c>
      <c r="J33" s="7">
        <v>21</v>
      </c>
      <c r="K33" s="7">
        <v>16.600000000000001</v>
      </c>
      <c r="L33" s="7">
        <v>8.4</v>
      </c>
      <c r="M33" s="7">
        <v>5.8</v>
      </c>
      <c r="O33">
        <v>2023</v>
      </c>
      <c r="P33">
        <v>148.1</v>
      </c>
      <c r="Q33">
        <v>34.6</v>
      </c>
      <c r="R33">
        <v>70.8</v>
      </c>
      <c r="S33">
        <v>84.4</v>
      </c>
      <c r="T33">
        <v>131.1</v>
      </c>
      <c r="U33">
        <v>65.599999999999994</v>
      </c>
      <c r="V33">
        <v>112</v>
      </c>
      <c r="W33">
        <v>116.9</v>
      </c>
      <c r="X33">
        <v>60.6</v>
      </c>
      <c r="Y33">
        <v>67.2</v>
      </c>
      <c r="Z33">
        <v>112.3</v>
      </c>
      <c r="AA33">
        <v>95.3</v>
      </c>
    </row>
    <row r="34" spans="1:27" x14ac:dyDescent="0.25">
      <c r="A34">
        <v>2024</v>
      </c>
      <c r="B34">
        <v>3.5</v>
      </c>
      <c r="C34">
        <v>10.4</v>
      </c>
      <c r="D34">
        <v>11.7</v>
      </c>
      <c r="E34">
        <v>14.7</v>
      </c>
      <c r="F34">
        <v>18.100000000000001</v>
      </c>
      <c r="G34">
        <v>22.8</v>
      </c>
      <c r="H34">
        <v>26</v>
      </c>
      <c r="I34">
        <v>26.4</v>
      </c>
      <c r="J34">
        <v>18.8</v>
      </c>
      <c r="K34">
        <v>14.2</v>
      </c>
      <c r="L34">
        <v>6.2</v>
      </c>
      <c r="M34">
        <v>4.0999999999999996</v>
      </c>
      <c r="O34">
        <v>2024</v>
      </c>
      <c r="P34">
        <v>67.599999999999994</v>
      </c>
      <c r="Q34">
        <v>31.8</v>
      </c>
      <c r="R34">
        <v>89</v>
      </c>
      <c r="S34">
        <v>40.6</v>
      </c>
      <c r="T34">
        <v>91.3</v>
      </c>
      <c r="U34">
        <v>103.9</v>
      </c>
      <c r="V34">
        <v>75.400000000000006</v>
      </c>
      <c r="W34">
        <v>89.7</v>
      </c>
      <c r="X34">
        <v>161.9</v>
      </c>
      <c r="Y34">
        <v>103.4</v>
      </c>
      <c r="Z34">
        <v>78.900000000000006</v>
      </c>
      <c r="AA34">
        <v>39.5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  <row r="65" spans="2:13" x14ac:dyDescent="0.25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BC22-C8FD-47EB-83FE-E2AB713E0389}">
  <dimension ref="A1:AA40"/>
  <sheetViews>
    <sheetView topLeftCell="A9" workbookViewId="0">
      <selection activeCell="T39" sqref="T38:T39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1.4733333333333329</v>
      </c>
      <c r="C2" s="4">
        <f t="shared" ref="C2:L2" si="0">AVERAGE(C5:C46)</f>
        <v>3.6599999999999993</v>
      </c>
      <c r="D2" s="4">
        <f t="shared" si="0"/>
        <v>7.4466666666666681</v>
      </c>
      <c r="E2" s="4">
        <f t="shared" si="0"/>
        <v>12.253333333333334</v>
      </c>
      <c r="F2" s="4">
        <f t="shared" si="0"/>
        <v>16.889999999999997</v>
      </c>
      <c r="G2" s="4">
        <f t="shared" si="0"/>
        <v>20.996666666666663</v>
      </c>
      <c r="H2" s="4">
        <f t="shared" si="0"/>
        <v>22.553333333333331</v>
      </c>
      <c r="I2" s="4">
        <f t="shared" si="0"/>
        <v>21.93</v>
      </c>
      <c r="J2" s="4">
        <f t="shared" si="0"/>
        <v>16.813333333333333</v>
      </c>
      <c r="K2" s="4">
        <f t="shared" si="0"/>
        <v>12.103333333333333</v>
      </c>
      <c r="L2" s="4">
        <f t="shared" si="0"/>
        <v>6.9200000000000008</v>
      </c>
      <c r="M2" s="4">
        <f>AVERAGE(M5:M46)</f>
        <v>2.3366666666666669</v>
      </c>
      <c r="O2" s="30"/>
      <c r="P2" s="4">
        <f>AVERAGE(P5:P46)</f>
        <v>53.216666666666669</v>
      </c>
      <c r="Q2" s="4">
        <f t="shared" ref="Q2:Z2" si="1">AVERAGE(Q5:Q46)</f>
        <v>46.37</v>
      </c>
      <c r="R2" s="4">
        <f t="shared" si="1"/>
        <v>47.943333333333342</v>
      </c>
      <c r="S2" s="4">
        <f t="shared" si="1"/>
        <v>61.856666666666655</v>
      </c>
      <c r="T2" s="4">
        <f t="shared" si="1"/>
        <v>82.74666666666667</v>
      </c>
      <c r="U2" s="4">
        <f t="shared" si="1"/>
        <v>85.716666666666683</v>
      </c>
      <c r="V2" s="4">
        <f t="shared" si="1"/>
        <v>85.34666666666665</v>
      </c>
      <c r="W2" s="4">
        <f t="shared" si="1"/>
        <v>83.556666666666658</v>
      </c>
      <c r="X2" s="4">
        <f t="shared" si="1"/>
        <v>113.27999999999997</v>
      </c>
      <c r="Y2" s="4">
        <f t="shared" si="1"/>
        <v>79.789999999999992</v>
      </c>
      <c r="Z2" s="4">
        <f t="shared" si="1"/>
        <v>85.370000000000019</v>
      </c>
      <c r="AA2" s="4">
        <f>AVERAGE(AA5:AA46)</f>
        <v>64.343333333333334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1.1000000000000001</v>
      </c>
      <c r="C5" s="2">
        <v>5.8</v>
      </c>
      <c r="D5" s="2">
        <v>5.6</v>
      </c>
      <c r="E5" s="2">
        <v>12.1</v>
      </c>
      <c r="F5" s="2">
        <v>15.5</v>
      </c>
      <c r="G5" s="2">
        <v>18.100000000000001</v>
      </c>
      <c r="H5" s="2">
        <v>23</v>
      </c>
      <c r="I5" s="2">
        <v>19.5</v>
      </c>
      <c r="J5" s="2">
        <v>15.1</v>
      </c>
      <c r="K5" s="2">
        <v>12</v>
      </c>
      <c r="L5" s="2">
        <v>4.9000000000000004</v>
      </c>
      <c r="M5" s="2">
        <v>1.4</v>
      </c>
      <c r="O5">
        <v>1995</v>
      </c>
      <c r="P5" s="2">
        <v>77</v>
      </c>
      <c r="Q5" s="2">
        <v>71</v>
      </c>
      <c r="R5" s="2">
        <v>64.3</v>
      </c>
      <c r="S5" s="2">
        <v>36.6</v>
      </c>
      <c r="T5" s="2">
        <v>76.2</v>
      </c>
      <c r="U5" s="2">
        <v>94.3</v>
      </c>
      <c r="V5" s="2">
        <v>88.3</v>
      </c>
      <c r="W5" s="2">
        <v>172.4</v>
      </c>
      <c r="X5" s="2">
        <v>161.80000000000001</v>
      </c>
      <c r="Y5" s="2">
        <v>5.6</v>
      </c>
      <c r="Z5" s="2">
        <v>43.3</v>
      </c>
      <c r="AA5" s="2">
        <v>59.1</v>
      </c>
    </row>
    <row r="6" spans="1:27" x14ac:dyDescent="0.25">
      <c r="A6">
        <v>1996</v>
      </c>
      <c r="B6" s="2">
        <v>-0.9</v>
      </c>
      <c r="C6" s="2">
        <v>-0.7</v>
      </c>
      <c r="D6" s="2">
        <v>3.5</v>
      </c>
      <c r="E6" s="2">
        <v>10.9</v>
      </c>
      <c r="F6" s="2">
        <v>17.100000000000001</v>
      </c>
      <c r="G6" s="2">
        <v>20.399999999999999</v>
      </c>
      <c r="H6" s="2">
        <v>19.399999999999999</v>
      </c>
      <c r="I6" s="2">
        <v>20</v>
      </c>
      <c r="J6" s="2">
        <v>13.3</v>
      </c>
      <c r="K6" s="2">
        <v>11.6</v>
      </c>
      <c r="L6" s="2">
        <v>7.9</v>
      </c>
      <c r="M6" s="2">
        <v>-1.2</v>
      </c>
      <c r="O6">
        <v>1996</v>
      </c>
      <c r="P6" s="2">
        <v>74.3</v>
      </c>
      <c r="Q6" s="2">
        <v>29.4</v>
      </c>
      <c r="R6" s="2">
        <v>8.8000000000000007</v>
      </c>
      <c r="S6" s="2">
        <v>85.9</v>
      </c>
      <c r="T6" s="2">
        <v>94.9</v>
      </c>
      <c r="U6" s="2">
        <v>62.6</v>
      </c>
      <c r="V6" s="2">
        <v>69.2</v>
      </c>
      <c r="W6" s="2">
        <v>147.30000000000001</v>
      </c>
      <c r="X6" s="2">
        <v>180.8</v>
      </c>
      <c r="Y6" s="2">
        <v>60.7</v>
      </c>
      <c r="Z6" s="2">
        <v>136.19999999999999</v>
      </c>
      <c r="AA6" s="2">
        <v>63.1</v>
      </c>
    </row>
    <row r="7" spans="1:27" x14ac:dyDescent="0.25">
      <c r="A7">
        <v>1997</v>
      </c>
      <c r="B7" s="2">
        <v>-0.9</v>
      </c>
      <c r="C7" s="2">
        <v>4.5</v>
      </c>
      <c r="D7" s="2">
        <v>6.7</v>
      </c>
      <c r="E7" s="2">
        <v>8.1999999999999993</v>
      </c>
      <c r="F7" s="2">
        <v>17.100000000000001</v>
      </c>
      <c r="G7" s="2">
        <v>20.100000000000001</v>
      </c>
      <c r="H7" s="2">
        <v>20.6</v>
      </c>
      <c r="I7" s="2">
        <v>20.6</v>
      </c>
      <c r="J7" s="2">
        <v>16.5</v>
      </c>
      <c r="K7" s="2">
        <v>9.5</v>
      </c>
      <c r="L7" s="2">
        <v>5.7</v>
      </c>
      <c r="M7" s="2">
        <v>3.2</v>
      </c>
      <c r="O7">
        <v>1997</v>
      </c>
      <c r="P7" s="2">
        <v>58</v>
      </c>
      <c r="Q7" s="2">
        <v>28.5</v>
      </c>
      <c r="R7" s="2">
        <v>30.1</v>
      </c>
      <c r="S7" s="2">
        <v>49.6</v>
      </c>
      <c r="T7" s="2">
        <v>72.099999999999994</v>
      </c>
      <c r="U7" s="2">
        <v>87.2</v>
      </c>
      <c r="V7" s="2">
        <v>80.7</v>
      </c>
      <c r="W7" s="2">
        <v>57.8</v>
      </c>
      <c r="X7" s="2">
        <v>21.9</v>
      </c>
      <c r="Y7" s="2">
        <v>51.4</v>
      </c>
      <c r="Z7" s="2">
        <v>104.2</v>
      </c>
      <c r="AA7" s="2">
        <v>85.1</v>
      </c>
    </row>
    <row r="8" spans="1:27" x14ac:dyDescent="0.25">
      <c r="A8">
        <v>1998</v>
      </c>
      <c r="B8" s="2">
        <v>3.6</v>
      </c>
      <c r="C8" s="2">
        <v>5</v>
      </c>
      <c r="D8" s="2">
        <v>5.2</v>
      </c>
      <c r="E8" s="2">
        <v>12.8</v>
      </c>
      <c r="F8" s="2">
        <v>16</v>
      </c>
      <c r="G8" s="2">
        <v>20.5</v>
      </c>
      <c r="H8" s="2">
        <v>21.2</v>
      </c>
      <c r="I8" s="2">
        <v>21.1</v>
      </c>
      <c r="J8" s="2">
        <v>15.9</v>
      </c>
      <c r="K8" s="2">
        <v>11.5</v>
      </c>
      <c r="L8" s="2">
        <v>3.8</v>
      </c>
      <c r="M8" s="2">
        <v>-2.8</v>
      </c>
      <c r="O8">
        <v>1998</v>
      </c>
      <c r="P8" s="2">
        <v>17.100000000000001</v>
      </c>
      <c r="Q8" s="2">
        <v>1.5</v>
      </c>
      <c r="R8" s="2">
        <v>57.1</v>
      </c>
      <c r="S8" s="2">
        <v>68.2</v>
      </c>
      <c r="T8" s="2">
        <v>74.900000000000006</v>
      </c>
      <c r="U8" s="2">
        <v>135.1</v>
      </c>
      <c r="V8" s="2">
        <v>134.69999999999999</v>
      </c>
      <c r="W8" s="2">
        <v>99.2</v>
      </c>
      <c r="X8" s="2">
        <v>202.2</v>
      </c>
      <c r="Y8" s="2">
        <v>123.1</v>
      </c>
      <c r="Z8" s="2">
        <v>66.3</v>
      </c>
      <c r="AA8" s="2">
        <v>46.7</v>
      </c>
    </row>
    <row r="9" spans="1:27" x14ac:dyDescent="0.25">
      <c r="A9">
        <v>1999</v>
      </c>
      <c r="B9" s="2">
        <v>0.9</v>
      </c>
      <c r="C9" s="2">
        <v>2.1</v>
      </c>
      <c r="D9" s="2">
        <v>8.8000000000000007</v>
      </c>
      <c r="E9" s="2">
        <v>12.5</v>
      </c>
      <c r="F9" s="2">
        <v>16.7</v>
      </c>
      <c r="G9" s="2">
        <v>19.7</v>
      </c>
      <c r="H9" s="2">
        <v>21.5</v>
      </c>
      <c r="I9" s="2">
        <v>20.7</v>
      </c>
      <c r="J9" s="2">
        <v>18.7</v>
      </c>
      <c r="K9" s="2">
        <v>11.7</v>
      </c>
      <c r="L9" s="2">
        <v>3.6</v>
      </c>
      <c r="M9" s="2">
        <v>1.6</v>
      </c>
      <c r="O9">
        <v>1999</v>
      </c>
      <c r="P9" s="2">
        <v>47.6</v>
      </c>
      <c r="Q9" s="2">
        <v>61.8</v>
      </c>
      <c r="R9" s="2">
        <v>39.299999999999997</v>
      </c>
      <c r="S9" s="2">
        <v>63.8</v>
      </c>
      <c r="T9" s="2">
        <v>128.4</v>
      </c>
      <c r="U9" s="2">
        <v>85.2</v>
      </c>
      <c r="V9" s="2">
        <v>100.9</v>
      </c>
      <c r="W9" s="2">
        <v>75.7</v>
      </c>
      <c r="X9" s="2">
        <v>51.8</v>
      </c>
      <c r="Y9" s="2">
        <v>99.7</v>
      </c>
      <c r="Z9" s="2">
        <v>71</v>
      </c>
      <c r="AA9" s="2">
        <v>99</v>
      </c>
    </row>
    <row r="10" spans="1:27" x14ac:dyDescent="0.25">
      <c r="A10">
        <v>2000</v>
      </c>
      <c r="B10" s="2">
        <v>-1.6</v>
      </c>
      <c r="C10" s="2">
        <v>4.5999999999999996</v>
      </c>
      <c r="D10" s="2">
        <v>7.9</v>
      </c>
      <c r="E10" s="2">
        <v>14.2</v>
      </c>
      <c r="F10" s="2">
        <v>17.5</v>
      </c>
      <c r="G10" s="2">
        <v>21.6</v>
      </c>
      <c r="H10" s="2">
        <v>20.9</v>
      </c>
      <c r="I10" s="2">
        <v>23</v>
      </c>
      <c r="J10" s="2">
        <v>16.600000000000001</v>
      </c>
      <c r="K10" s="2">
        <v>13.3</v>
      </c>
      <c r="L10" s="2">
        <v>9.1999999999999993</v>
      </c>
      <c r="M10" s="2">
        <v>4.5999999999999996</v>
      </c>
      <c r="O10">
        <v>2000</v>
      </c>
      <c r="P10" s="2">
        <v>16.899999999999999</v>
      </c>
      <c r="Q10" s="2">
        <v>25.8</v>
      </c>
      <c r="R10" s="2">
        <v>45.7</v>
      </c>
      <c r="S10" s="2">
        <v>53.6</v>
      </c>
      <c r="T10" s="2">
        <v>39.299999999999997</v>
      </c>
      <c r="U10" s="2">
        <v>46.6</v>
      </c>
      <c r="V10" s="2">
        <v>79.3</v>
      </c>
      <c r="W10" s="2">
        <v>10</v>
      </c>
      <c r="X10" s="2">
        <v>84.9</v>
      </c>
      <c r="Y10" s="2">
        <v>92</v>
      </c>
      <c r="Z10" s="2">
        <v>109.4</v>
      </c>
      <c r="AA10" s="2">
        <v>117.7</v>
      </c>
    </row>
    <row r="11" spans="1:27" x14ac:dyDescent="0.25">
      <c r="A11">
        <v>2001</v>
      </c>
      <c r="B11" s="2">
        <v>4</v>
      </c>
      <c r="C11" s="2">
        <v>4.9000000000000004</v>
      </c>
      <c r="D11" s="2">
        <v>10.3</v>
      </c>
      <c r="E11" s="2">
        <v>10.6</v>
      </c>
      <c r="F11" s="2">
        <v>17.8</v>
      </c>
      <c r="G11" s="2">
        <v>18.399999999999999</v>
      </c>
      <c r="H11" s="2">
        <v>21.8</v>
      </c>
      <c r="I11" s="2">
        <v>22.5</v>
      </c>
      <c r="J11" s="2">
        <v>14.4</v>
      </c>
      <c r="K11" s="2">
        <v>14.2</v>
      </c>
      <c r="L11" s="2">
        <v>3.6</v>
      </c>
      <c r="M11" s="2">
        <v>-1.7</v>
      </c>
      <c r="O11">
        <v>2001</v>
      </c>
      <c r="P11" s="2">
        <v>79.400000000000006</v>
      </c>
      <c r="Q11" s="2">
        <v>13.4</v>
      </c>
      <c r="R11" s="2">
        <v>100.4</v>
      </c>
      <c r="S11" s="2">
        <v>78.8</v>
      </c>
      <c r="T11" s="2">
        <v>71</v>
      </c>
      <c r="U11" s="2">
        <v>120.9</v>
      </c>
      <c r="V11" s="2">
        <v>54.6</v>
      </c>
      <c r="W11" s="2">
        <v>13.6</v>
      </c>
      <c r="X11" s="2">
        <v>172</v>
      </c>
      <c r="Y11" s="2">
        <v>8.3000000000000007</v>
      </c>
      <c r="Z11" s="2">
        <v>85.6</v>
      </c>
      <c r="AA11" s="2">
        <v>24.3</v>
      </c>
    </row>
    <row r="12" spans="1:27" x14ac:dyDescent="0.25">
      <c r="A12">
        <v>2002</v>
      </c>
      <c r="B12" s="6">
        <v>0.9</v>
      </c>
      <c r="C12" s="6">
        <v>6.4</v>
      </c>
      <c r="D12" s="6">
        <v>8.8000000000000007</v>
      </c>
      <c r="E12" s="6">
        <v>10.8</v>
      </c>
      <c r="F12" s="6">
        <v>18.399999999999999</v>
      </c>
      <c r="G12" s="6">
        <v>21.1</v>
      </c>
      <c r="H12" s="6">
        <v>21.9</v>
      </c>
      <c r="I12" s="6">
        <v>20.8</v>
      </c>
      <c r="J12" s="6">
        <v>15.4</v>
      </c>
      <c r="K12" s="6">
        <v>11.4</v>
      </c>
      <c r="L12" s="6">
        <v>9.6999999999999993</v>
      </c>
      <c r="M12" s="6">
        <v>2.1</v>
      </c>
      <c r="O12">
        <v>2002</v>
      </c>
      <c r="P12" s="2">
        <v>22</v>
      </c>
      <c r="Q12" s="2">
        <v>46</v>
      </c>
      <c r="R12" s="2">
        <v>33</v>
      </c>
      <c r="S12" s="2">
        <v>131</v>
      </c>
      <c r="T12" s="2">
        <v>86</v>
      </c>
      <c r="U12" s="2">
        <v>71</v>
      </c>
      <c r="V12" s="2">
        <v>124</v>
      </c>
      <c r="W12" s="2">
        <v>143</v>
      </c>
      <c r="X12" s="2">
        <v>78</v>
      </c>
      <c r="Y12" s="2">
        <v>109</v>
      </c>
      <c r="Z12" s="2">
        <v>73</v>
      </c>
      <c r="AA12" s="2">
        <v>64</v>
      </c>
    </row>
    <row r="13" spans="1:27" x14ac:dyDescent="0.25">
      <c r="A13">
        <v>2003</v>
      </c>
      <c r="B13" s="6">
        <v>-1</v>
      </c>
      <c r="C13" s="6">
        <v>-1.6</v>
      </c>
      <c r="D13" s="6">
        <v>7.2</v>
      </c>
      <c r="E13" s="6">
        <v>10.8</v>
      </c>
      <c r="F13" s="6">
        <v>19.3</v>
      </c>
      <c r="G13" s="6">
        <v>23.9</v>
      </c>
      <c r="H13" s="6">
        <v>23</v>
      </c>
      <c r="I13" s="6">
        <v>25</v>
      </c>
      <c r="J13" s="6">
        <v>15.9</v>
      </c>
      <c r="K13" s="6">
        <v>9.4</v>
      </c>
      <c r="L13" s="6">
        <v>8.1</v>
      </c>
      <c r="M13" s="6">
        <v>1.7</v>
      </c>
      <c r="O13">
        <v>2003</v>
      </c>
      <c r="P13" s="2">
        <v>61</v>
      </c>
      <c r="Q13" s="2">
        <v>35.700000000000003</v>
      </c>
      <c r="R13" s="2">
        <v>7.5</v>
      </c>
      <c r="S13" s="2">
        <v>28.8</v>
      </c>
      <c r="T13" s="2">
        <v>20.2</v>
      </c>
      <c r="U13" s="2">
        <v>65.599999999999994</v>
      </c>
      <c r="V13" s="2">
        <v>62.3</v>
      </c>
      <c r="W13" s="2">
        <v>16.7</v>
      </c>
      <c r="X13" s="2">
        <v>111.8</v>
      </c>
      <c r="Y13" s="2">
        <v>102</v>
      </c>
      <c r="Z13" s="2">
        <v>57.5</v>
      </c>
      <c r="AA13" s="2">
        <v>25</v>
      </c>
    </row>
    <row r="14" spans="1:27" x14ac:dyDescent="0.25">
      <c r="A14">
        <v>2004</v>
      </c>
      <c r="B14" s="7">
        <v>-0.1</v>
      </c>
      <c r="C14" s="7">
        <v>3</v>
      </c>
      <c r="D14" s="7">
        <v>5.6</v>
      </c>
      <c r="E14" s="7">
        <v>11.5</v>
      </c>
      <c r="F14" s="7">
        <v>14.8</v>
      </c>
      <c r="G14" s="7">
        <v>19.100000000000001</v>
      </c>
      <c r="H14" s="7">
        <v>21.1</v>
      </c>
      <c r="I14" s="7">
        <v>21</v>
      </c>
      <c r="J14" s="7">
        <v>16.2</v>
      </c>
      <c r="K14" s="7">
        <v>13.1</v>
      </c>
      <c r="L14" s="7">
        <v>7</v>
      </c>
      <c r="M14" s="7">
        <v>2.1</v>
      </c>
      <c r="O14">
        <v>2004</v>
      </c>
      <c r="P14" s="2">
        <v>57.1</v>
      </c>
      <c r="Q14" s="2">
        <v>42</v>
      </c>
      <c r="R14" s="2">
        <v>60.1</v>
      </c>
      <c r="S14" s="2">
        <v>135.80000000000001</v>
      </c>
      <c r="T14" s="2">
        <v>39.299999999999997</v>
      </c>
      <c r="U14" s="2">
        <v>102.2</v>
      </c>
      <c r="V14" s="2">
        <v>69.7</v>
      </c>
      <c r="W14" s="2">
        <v>56.4</v>
      </c>
      <c r="X14" s="2">
        <v>80.599999999999994</v>
      </c>
      <c r="Y14" s="2">
        <v>186.2</v>
      </c>
      <c r="Z14" s="2">
        <v>39.700000000000003</v>
      </c>
      <c r="AA14" s="2">
        <v>49.3</v>
      </c>
    </row>
    <row r="15" spans="1:27" x14ac:dyDescent="0.25">
      <c r="A15">
        <v>2005</v>
      </c>
      <c r="B15" s="7">
        <v>0.1</v>
      </c>
      <c r="C15" s="7">
        <v>-1.7</v>
      </c>
      <c r="D15" s="7">
        <v>5</v>
      </c>
      <c r="E15" s="7">
        <v>11.8</v>
      </c>
      <c r="F15" s="7">
        <v>16.5</v>
      </c>
      <c r="G15" s="7">
        <v>19.899999999999999</v>
      </c>
      <c r="H15" s="7">
        <v>21.5</v>
      </c>
      <c r="I15" s="7">
        <v>18.899999999999999</v>
      </c>
      <c r="J15" s="7">
        <v>16.899999999999999</v>
      </c>
      <c r="K15" s="7">
        <v>12.3</v>
      </c>
      <c r="L15" s="7">
        <v>5.2</v>
      </c>
      <c r="M15" s="7">
        <v>1.5</v>
      </c>
      <c r="O15">
        <v>2005</v>
      </c>
      <c r="P15" s="2">
        <v>15.7</v>
      </c>
      <c r="Q15" s="2">
        <v>61.8</v>
      </c>
      <c r="R15" s="2">
        <v>29.7</v>
      </c>
      <c r="S15" s="2">
        <v>64.900000000000006</v>
      </c>
      <c r="T15" s="2">
        <v>66.3</v>
      </c>
      <c r="U15" s="2">
        <v>68.599999999999994</v>
      </c>
      <c r="V15" s="2">
        <v>137.1</v>
      </c>
      <c r="W15" s="2">
        <v>175.3</v>
      </c>
      <c r="X15" s="2">
        <v>67.8</v>
      </c>
      <c r="Y15" s="2">
        <v>26.7</v>
      </c>
      <c r="Z15" s="2">
        <v>78.7</v>
      </c>
      <c r="AA15" s="2">
        <v>113.4</v>
      </c>
    </row>
    <row r="16" spans="1:27" x14ac:dyDescent="0.25">
      <c r="A16">
        <v>2006</v>
      </c>
      <c r="B16" s="7">
        <v>-1.2</v>
      </c>
      <c r="C16" s="7">
        <v>1.5</v>
      </c>
      <c r="D16" s="7">
        <v>5.6</v>
      </c>
      <c r="E16" s="7">
        <v>12.5</v>
      </c>
      <c r="F16" s="7">
        <v>16.100000000000001</v>
      </c>
      <c r="G16" s="7">
        <v>20.5</v>
      </c>
      <c r="H16" s="7">
        <v>23.8</v>
      </c>
      <c r="I16" s="7">
        <v>18.899999999999999</v>
      </c>
      <c r="J16" s="7">
        <v>17.7</v>
      </c>
      <c r="K16" s="7">
        <v>13.2</v>
      </c>
      <c r="L16" s="7">
        <v>8.9</v>
      </c>
      <c r="M16" s="7">
        <v>4</v>
      </c>
      <c r="O16">
        <v>2006</v>
      </c>
      <c r="P16" s="2">
        <v>41.5</v>
      </c>
      <c r="Q16" s="2">
        <v>42.2</v>
      </c>
      <c r="R16" s="2">
        <v>53</v>
      </c>
      <c r="S16" s="2">
        <v>110.3</v>
      </c>
      <c r="T16" s="2">
        <v>80.8</v>
      </c>
      <c r="U16" s="2">
        <v>40.299999999999997</v>
      </c>
      <c r="V16" s="2">
        <v>31.7</v>
      </c>
      <c r="W16" s="2">
        <v>177.9</v>
      </c>
      <c r="X16" s="2">
        <v>67.599999999999994</v>
      </c>
      <c r="Y16" s="2">
        <v>16.899999999999999</v>
      </c>
      <c r="Z16" s="2">
        <v>46.7</v>
      </c>
      <c r="AA16" s="2">
        <v>37.299999999999997</v>
      </c>
    </row>
    <row r="17" spans="1:27" x14ac:dyDescent="0.25">
      <c r="A17">
        <v>2007</v>
      </c>
      <c r="B17" s="7">
        <v>6.5</v>
      </c>
      <c r="C17" s="7">
        <v>6.9</v>
      </c>
      <c r="D17" s="7">
        <v>8.8000000000000007</v>
      </c>
      <c r="E17" s="7">
        <v>13.7</v>
      </c>
      <c r="F17" s="7">
        <v>18.2</v>
      </c>
      <c r="G17" s="7">
        <v>22.2</v>
      </c>
      <c r="H17" s="7">
        <v>22.9</v>
      </c>
      <c r="I17" s="7">
        <v>21.3</v>
      </c>
      <c r="J17" s="7">
        <v>14.5</v>
      </c>
      <c r="K17" s="7">
        <v>10.4</v>
      </c>
      <c r="L17" s="7">
        <v>4.9000000000000004</v>
      </c>
      <c r="M17" s="7">
        <v>0.5</v>
      </c>
      <c r="O17">
        <v>2007</v>
      </c>
      <c r="P17" s="2">
        <v>67.099999999999994</v>
      </c>
      <c r="Q17" s="2">
        <v>44.9</v>
      </c>
      <c r="R17" s="2">
        <v>71.7</v>
      </c>
      <c r="S17" s="2">
        <v>1.6</v>
      </c>
      <c r="T17" s="2">
        <v>71.400000000000006</v>
      </c>
      <c r="U17" s="2">
        <v>96.6</v>
      </c>
      <c r="V17" s="2">
        <v>49.3</v>
      </c>
      <c r="W17" s="2">
        <v>101.6</v>
      </c>
      <c r="X17" s="2">
        <v>136.1</v>
      </c>
      <c r="Y17" s="2">
        <v>104.4</v>
      </c>
      <c r="Z17" s="2">
        <v>58.7</v>
      </c>
      <c r="AA17" s="2">
        <v>54.1</v>
      </c>
    </row>
    <row r="18" spans="1:27" x14ac:dyDescent="0.25">
      <c r="A18">
        <v>2008</v>
      </c>
      <c r="B18" s="7">
        <v>2.2999999999999998</v>
      </c>
      <c r="C18" s="7">
        <v>5.3</v>
      </c>
      <c r="D18" s="7">
        <v>7.2</v>
      </c>
      <c r="E18" s="7">
        <v>12</v>
      </c>
      <c r="F18" s="7">
        <v>17.399999999999999</v>
      </c>
      <c r="G18" s="7">
        <v>20.9</v>
      </c>
      <c r="H18" s="7">
        <v>21.9</v>
      </c>
      <c r="I18" s="7">
        <v>21.5</v>
      </c>
      <c r="J18" s="7">
        <v>15.6</v>
      </c>
      <c r="K18" s="7">
        <v>12.6</v>
      </c>
      <c r="L18" s="7">
        <v>7.6</v>
      </c>
      <c r="M18" s="7">
        <v>3.4</v>
      </c>
      <c r="O18">
        <v>2008</v>
      </c>
      <c r="P18" s="2">
        <v>11</v>
      </c>
      <c r="Q18" s="2">
        <v>9</v>
      </c>
      <c r="R18" s="2">
        <v>108.6</v>
      </c>
      <c r="S18" s="2">
        <v>39.700000000000003</v>
      </c>
      <c r="T18" s="2">
        <v>44.1</v>
      </c>
      <c r="U18" s="2">
        <v>102.5</v>
      </c>
      <c r="V18" s="2">
        <v>86.3</v>
      </c>
      <c r="W18" s="2">
        <v>54.6</v>
      </c>
      <c r="X18" s="2">
        <v>47.5</v>
      </c>
      <c r="Y18" s="2">
        <v>78.099999999999994</v>
      </c>
      <c r="Z18" s="2">
        <v>67.400000000000006</v>
      </c>
      <c r="AA18" s="2">
        <v>95.4</v>
      </c>
    </row>
    <row r="19" spans="1:27" x14ac:dyDescent="0.25">
      <c r="A19">
        <v>2009</v>
      </c>
      <c r="B19" s="7">
        <v>-1.1000000000000001</v>
      </c>
      <c r="C19" s="7">
        <v>3</v>
      </c>
      <c r="D19" s="7">
        <v>7.6</v>
      </c>
      <c r="E19" s="7">
        <v>14.5</v>
      </c>
      <c r="F19" s="7">
        <v>18.399999999999999</v>
      </c>
      <c r="G19" s="7">
        <v>19.8</v>
      </c>
      <c r="H19" s="7">
        <v>22.3</v>
      </c>
      <c r="I19" s="7">
        <v>22.6</v>
      </c>
      <c r="J19" s="7">
        <v>18.899999999999999</v>
      </c>
      <c r="K19" s="7">
        <v>11.7</v>
      </c>
      <c r="L19" s="7">
        <v>8</v>
      </c>
      <c r="M19" s="7">
        <v>2.8</v>
      </c>
      <c r="O19">
        <v>2009</v>
      </c>
      <c r="P19" s="2">
        <v>82.4</v>
      </c>
      <c r="Q19" s="2">
        <v>43.6</v>
      </c>
      <c r="R19" s="2">
        <v>42.7</v>
      </c>
      <c r="S19" s="2">
        <v>52</v>
      </c>
      <c r="T19" s="2">
        <v>48.8</v>
      </c>
      <c r="U19" s="2">
        <v>67.599999999999994</v>
      </c>
      <c r="V19" s="2">
        <v>96.2</v>
      </c>
      <c r="W19" s="2">
        <v>79.3</v>
      </c>
      <c r="X19" s="2">
        <v>22.2</v>
      </c>
      <c r="Y19" s="2">
        <v>66.8</v>
      </c>
      <c r="Z19" s="2">
        <v>88</v>
      </c>
      <c r="AA19" s="2">
        <v>79.2</v>
      </c>
    </row>
    <row r="20" spans="1:27" x14ac:dyDescent="0.25">
      <c r="A20">
        <v>2010</v>
      </c>
      <c r="B20" s="7">
        <v>-0.4</v>
      </c>
      <c r="C20" s="7">
        <v>2.2999999999999998</v>
      </c>
      <c r="D20" s="7">
        <v>6.8</v>
      </c>
      <c r="E20" s="7">
        <v>12</v>
      </c>
      <c r="F20" s="7">
        <v>16.600000000000001</v>
      </c>
      <c r="G20" s="7">
        <v>20.399999999999999</v>
      </c>
      <c r="H20" s="7">
        <v>23.2</v>
      </c>
      <c r="I20" s="7">
        <v>20.8</v>
      </c>
      <c r="J20" s="7">
        <v>15.1</v>
      </c>
      <c r="K20" s="7">
        <v>9.4</v>
      </c>
      <c r="L20" s="7">
        <v>8.8000000000000007</v>
      </c>
      <c r="M20" s="7">
        <v>0.2</v>
      </c>
      <c r="O20">
        <v>2010</v>
      </c>
      <c r="P20" s="2">
        <v>84.1</v>
      </c>
      <c r="Q20" s="2">
        <v>67.3</v>
      </c>
      <c r="R20" s="2">
        <v>45.7</v>
      </c>
      <c r="S20" s="2">
        <v>63.3</v>
      </c>
      <c r="T20" s="2">
        <v>97.5</v>
      </c>
      <c r="U20" s="2">
        <v>103.8</v>
      </c>
      <c r="V20" s="2">
        <v>52.5</v>
      </c>
      <c r="W20" s="2">
        <v>141.1</v>
      </c>
      <c r="X20" s="2">
        <v>194.7</v>
      </c>
      <c r="Y20" s="2">
        <v>35.5</v>
      </c>
      <c r="Z20" s="2">
        <v>113.4</v>
      </c>
      <c r="AA20" s="2">
        <v>61</v>
      </c>
    </row>
    <row r="21" spans="1:27" x14ac:dyDescent="0.25">
      <c r="A21">
        <v>2011</v>
      </c>
      <c r="B21" s="7">
        <v>2.1</v>
      </c>
      <c r="C21" s="7">
        <v>1.3</v>
      </c>
      <c r="D21" s="7">
        <v>7.3</v>
      </c>
      <c r="E21" s="7">
        <v>13.4</v>
      </c>
      <c r="F21" s="7">
        <v>16.899999999999999</v>
      </c>
      <c r="G21" s="7">
        <v>21.1</v>
      </c>
      <c r="H21" s="7">
        <v>22.2</v>
      </c>
      <c r="I21" s="7">
        <v>23.2</v>
      </c>
      <c r="J21" s="7">
        <v>20.3</v>
      </c>
      <c r="K21" s="7">
        <v>10.5</v>
      </c>
      <c r="L21" s="7">
        <v>3.1</v>
      </c>
      <c r="M21" s="7">
        <v>3.7</v>
      </c>
      <c r="O21">
        <v>2011</v>
      </c>
      <c r="P21" s="2">
        <v>11.7</v>
      </c>
      <c r="Q21" s="2">
        <v>11.7</v>
      </c>
      <c r="R21" s="2">
        <v>36</v>
      </c>
      <c r="S21" s="2">
        <v>42.1</v>
      </c>
      <c r="T21" s="2">
        <v>70</v>
      </c>
      <c r="U21" s="2">
        <v>67.5</v>
      </c>
      <c r="V21" s="2">
        <v>63.9</v>
      </c>
      <c r="W21" s="2">
        <v>15.6</v>
      </c>
      <c r="X21" s="2">
        <v>42</v>
      </c>
      <c r="Y21" s="2">
        <v>72.5</v>
      </c>
      <c r="Z21" s="2">
        <v>0.3</v>
      </c>
      <c r="AA21" s="2">
        <v>83.7</v>
      </c>
    </row>
    <row r="22" spans="1:27" x14ac:dyDescent="0.25">
      <c r="A22">
        <v>2012</v>
      </c>
      <c r="B22" s="7">
        <v>2.5</v>
      </c>
      <c r="C22" s="7">
        <v>-1.9</v>
      </c>
      <c r="D22" s="7">
        <v>9.4</v>
      </c>
      <c r="E22" s="7">
        <v>12.5</v>
      </c>
      <c r="F22" s="7">
        <v>16.7</v>
      </c>
      <c r="G22" s="7">
        <v>22</v>
      </c>
      <c r="H22" s="7">
        <v>24.2</v>
      </c>
      <c r="I22" s="7">
        <v>24</v>
      </c>
      <c r="J22" s="7">
        <v>18.100000000000001</v>
      </c>
      <c r="K22" s="7">
        <v>11.8</v>
      </c>
      <c r="L22" s="7">
        <v>9.1999999999999993</v>
      </c>
      <c r="M22" s="7">
        <v>1.5</v>
      </c>
      <c r="O22">
        <v>2012</v>
      </c>
      <c r="P22" s="2">
        <v>19.399999999999999</v>
      </c>
      <c r="Q22" s="2">
        <v>26.3</v>
      </c>
      <c r="R22" s="2">
        <v>4.5</v>
      </c>
      <c r="S22" s="2">
        <v>51.3</v>
      </c>
      <c r="T22" s="2">
        <v>81.8</v>
      </c>
      <c r="U22" s="2">
        <v>127.9</v>
      </c>
      <c r="V22" s="2">
        <v>56.3</v>
      </c>
      <c r="W22" s="2">
        <v>9.8000000000000007</v>
      </c>
      <c r="X22" s="2">
        <v>120</v>
      </c>
      <c r="Y22" s="2">
        <v>85.4</v>
      </c>
      <c r="Z22" s="2">
        <v>112.4</v>
      </c>
      <c r="AA22" s="2">
        <v>66</v>
      </c>
    </row>
    <row r="23" spans="1:27" x14ac:dyDescent="0.25">
      <c r="A23">
        <v>2013</v>
      </c>
      <c r="B23" s="7">
        <v>1.5</v>
      </c>
      <c r="C23" s="7">
        <v>1.8</v>
      </c>
      <c r="D23" s="7">
        <v>4.8</v>
      </c>
      <c r="E23" s="7">
        <v>13</v>
      </c>
      <c r="F23" s="7">
        <v>16.399999999999999</v>
      </c>
      <c r="G23" s="7">
        <v>20</v>
      </c>
      <c r="H23" s="7">
        <v>23.3</v>
      </c>
      <c r="I23" s="7">
        <v>22.5</v>
      </c>
      <c r="J23" s="7">
        <v>15.9</v>
      </c>
      <c r="K23" s="7">
        <v>13.4</v>
      </c>
      <c r="L23" s="7">
        <v>7.2</v>
      </c>
      <c r="M23" s="7">
        <v>2.8</v>
      </c>
      <c r="O23">
        <v>2013</v>
      </c>
      <c r="P23" s="2">
        <v>128.9</v>
      </c>
      <c r="Q23" s="2">
        <v>85.4</v>
      </c>
      <c r="R23" s="2">
        <v>121.7</v>
      </c>
      <c r="S23" s="2">
        <v>56.1</v>
      </c>
      <c r="T23" s="2">
        <v>94</v>
      </c>
      <c r="U23" s="2">
        <v>48.7</v>
      </c>
      <c r="V23" s="2">
        <v>33.200000000000003</v>
      </c>
      <c r="W23" s="2">
        <v>145.19999999999999</v>
      </c>
      <c r="X23" s="2">
        <v>111.9</v>
      </c>
      <c r="Y23" s="2">
        <v>29.3</v>
      </c>
      <c r="Z23" s="2">
        <v>187.5</v>
      </c>
      <c r="AA23" s="2">
        <v>10.8</v>
      </c>
    </row>
    <row r="24" spans="1:27" x14ac:dyDescent="0.25">
      <c r="A24">
        <v>2014</v>
      </c>
      <c r="B24" s="7">
        <v>4.9000000000000004</v>
      </c>
      <c r="C24" s="7">
        <v>5.3</v>
      </c>
      <c r="D24" s="7">
        <v>10.5</v>
      </c>
      <c r="E24" s="7">
        <v>13.3</v>
      </c>
      <c r="F24" s="7">
        <v>15.7</v>
      </c>
      <c r="G24" s="7">
        <v>20.2</v>
      </c>
      <c r="H24" s="7">
        <v>21.8</v>
      </c>
      <c r="I24" s="7">
        <v>20.2</v>
      </c>
      <c r="J24" s="7">
        <v>16.2</v>
      </c>
      <c r="K24" s="7">
        <v>13.6</v>
      </c>
      <c r="L24" s="7">
        <v>9</v>
      </c>
      <c r="M24" s="7">
        <v>4.2</v>
      </c>
      <c r="O24">
        <v>2014</v>
      </c>
      <c r="P24" s="2">
        <v>58.1</v>
      </c>
      <c r="Q24" s="2">
        <v>141.30000000000001</v>
      </c>
      <c r="R24" s="2">
        <v>21</v>
      </c>
      <c r="S24" s="2">
        <v>70.400000000000006</v>
      </c>
      <c r="T24" s="2">
        <v>145</v>
      </c>
      <c r="U24" s="2">
        <v>147</v>
      </c>
      <c r="V24" s="2">
        <v>157.80000000000001</v>
      </c>
      <c r="W24" s="2">
        <v>115.2</v>
      </c>
      <c r="X24" s="2">
        <v>178.6</v>
      </c>
      <c r="Y24" s="2">
        <v>128</v>
      </c>
      <c r="Z24" s="2">
        <v>84.5</v>
      </c>
      <c r="AA24" s="2">
        <v>70.900000000000006</v>
      </c>
    </row>
    <row r="25" spans="1:27" x14ac:dyDescent="0.25">
      <c r="A25">
        <v>2015</v>
      </c>
      <c r="B25" s="7">
        <v>3.4</v>
      </c>
      <c r="C25" s="7">
        <v>2.5</v>
      </c>
      <c r="D25" s="7">
        <v>7.8</v>
      </c>
      <c r="E25" s="7">
        <v>11.9</v>
      </c>
      <c r="F25" s="7">
        <v>17.5</v>
      </c>
      <c r="G25" s="7">
        <v>20.8</v>
      </c>
      <c r="H25" s="7">
        <v>24.1</v>
      </c>
      <c r="I25" s="7">
        <v>23</v>
      </c>
      <c r="J25" s="7">
        <v>17.600000000000001</v>
      </c>
      <c r="K25" s="7">
        <v>11.2</v>
      </c>
      <c r="L25" s="7">
        <v>8.1999999999999993</v>
      </c>
      <c r="M25" s="7">
        <v>3.2</v>
      </c>
      <c r="O25">
        <v>2015</v>
      </c>
      <c r="P25" s="2">
        <v>55.4</v>
      </c>
      <c r="Q25" s="2">
        <v>48.2</v>
      </c>
      <c r="R25" s="2">
        <v>35.1</v>
      </c>
      <c r="S25" s="2">
        <v>22.2</v>
      </c>
      <c r="T25" s="2">
        <v>138</v>
      </c>
      <c r="U25" s="2">
        <v>75.2</v>
      </c>
      <c r="V25" s="2">
        <v>108</v>
      </c>
      <c r="W25" s="2">
        <v>95</v>
      </c>
      <c r="X25" s="2">
        <v>95.3</v>
      </c>
      <c r="Y25" s="2">
        <v>174.9</v>
      </c>
      <c r="Z25" s="2">
        <v>39.1</v>
      </c>
      <c r="AA25" s="2">
        <v>0.7</v>
      </c>
    </row>
    <row r="26" spans="1:27" x14ac:dyDescent="0.25">
      <c r="A26">
        <v>2016</v>
      </c>
      <c r="B26" s="7">
        <v>1.3</v>
      </c>
      <c r="C26" s="7">
        <v>6.9</v>
      </c>
      <c r="D26" s="7">
        <v>8</v>
      </c>
      <c r="E26" s="7">
        <v>13</v>
      </c>
      <c r="F26" s="7">
        <v>16.100000000000001</v>
      </c>
      <c r="G26" s="7">
        <v>21.1</v>
      </c>
      <c r="H26" s="7">
        <v>23.4</v>
      </c>
      <c r="I26" s="7">
        <v>20.8</v>
      </c>
      <c r="J26" s="7">
        <v>18.600000000000001</v>
      </c>
      <c r="K26" s="7">
        <v>10.4</v>
      </c>
      <c r="L26" s="7">
        <v>6.8</v>
      </c>
      <c r="M26" s="7">
        <v>-0.4</v>
      </c>
      <c r="O26">
        <v>2016</v>
      </c>
      <c r="P26" s="2">
        <v>60.5</v>
      </c>
      <c r="Q26" s="2">
        <v>126.8</v>
      </c>
      <c r="R26" s="2">
        <v>54.3</v>
      </c>
      <c r="S26" s="2">
        <v>49.5</v>
      </c>
      <c r="T26" s="2">
        <v>94.7</v>
      </c>
      <c r="U26" s="2">
        <v>130.5</v>
      </c>
      <c r="V26" s="2">
        <v>46.8</v>
      </c>
      <c r="W26" s="2">
        <v>51.3</v>
      </c>
      <c r="X26" s="2">
        <v>38.200000000000003</v>
      </c>
      <c r="Y26" s="2">
        <v>107.9</v>
      </c>
      <c r="Z26" s="2">
        <v>96.2</v>
      </c>
      <c r="AA26" s="2">
        <v>1.9</v>
      </c>
    </row>
    <row r="27" spans="1:27" x14ac:dyDescent="0.25">
      <c r="A27">
        <v>2017</v>
      </c>
      <c r="B27" s="7">
        <v>-3.2</v>
      </c>
      <c r="C27" s="7">
        <v>5.2</v>
      </c>
      <c r="D27" s="7">
        <v>10</v>
      </c>
      <c r="E27" s="7">
        <v>12.4</v>
      </c>
      <c r="F27" s="7">
        <v>17.7</v>
      </c>
      <c r="G27" s="7">
        <v>22.5</v>
      </c>
      <c r="H27" s="7">
        <v>24</v>
      </c>
      <c r="I27" s="7">
        <v>23.7</v>
      </c>
      <c r="J27" s="7">
        <v>15.4</v>
      </c>
      <c r="K27" s="7">
        <v>11.9</v>
      </c>
      <c r="L27" s="7">
        <v>7.3</v>
      </c>
      <c r="M27" s="7">
        <v>4</v>
      </c>
      <c r="O27">
        <v>2017</v>
      </c>
      <c r="P27" s="2">
        <v>34.299999999999997</v>
      </c>
      <c r="Q27" s="2">
        <v>41.4</v>
      </c>
      <c r="R27" s="2">
        <v>19.8</v>
      </c>
      <c r="S27" s="2">
        <v>44.3</v>
      </c>
      <c r="T27" s="2">
        <v>35.200000000000003</v>
      </c>
      <c r="U27" s="2">
        <v>107.8</v>
      </c>
      <c r="V27" s="2">
        <v>58</v>
      </c>
      <c r="W27" s="2">
        <v>39</v>
      </c>
      <c r="X27" s="2">
        <v>239.6</v>
      </c>
      <c r="Y27" s="2">
        <v>72</v>
      </c>
      <c r="Z27" s="2">
        <v>113.2</v>
      </c>
      <c r="AA27" s="2">
        <v>92.3</v>
      </c>
    </row>
    <row r="28" spans="1:27" x14ac:dyDescent="0.25">
      <c r="A28">
        <v>2018</v>
      </c>
      <c r="B28" s="2">
        <v>5.2</v>
      </c>
      <c r="C28" s="2">
        <v>0.2</v>
      </c>
      <c r="D28" s="2">
        <v>5.2</v>
      </c>
      <c r="E28" s="2">
        <v>16.100000000000001</v>
      </c>
      <c r="F28" s="2">
        <v>19.5</v>
      </c>
      <c r="G28" s="2">
        <v>21.4</v>
      </c>
      <c r="H28" s="2">
        <v>22.5</v>
      </c>
      <c r="I28" s="2">
        <v>23.7</v>
      </c>
      <c r="J28" s="2">
        <v>17.7</v>
      </c>
      <c r="K28" s="2">
        <v>13.7</v>
      </c>
      <c r="L28" s="2">
        <v>7.9</v>
      </c>
      <c r="M28" s="2">
        <v>2.8</v>
      </c>
      <c r="O28">
        <v>2018</v>
      </c>
      <c r="P28" s="2">
        <v>56.7</v>
      </c>
      <c r="Q28" s="2">
        <v>87.5</v>
      </c>
      <c r="R28" s="2">
        <v>72.2</v>
      </c>
      <c r="S28" s="2">
        <v>65.8</v>
      </c>
      <c r="T28" s="2">
        <v>68.7</v>
      </c>
      <c r="U28" s="2">
        <v>127.8</v>
      </c>
      <c r="V28" s="2">
        <v>85.2</v>
      </c>
      <c r="W28" s="2">
        <v>40.700000000000003</v>
      </c>
      <c r="X28" s="2">
        <v>59</v>
      </c>
      <c r="Y28" s="2">
        <v>88.6</v>
      </c>
      <c r="Z28" s="2">
        <v>80.400000000000006</v>
      </c>
      <c r="AA28" s="2">
        <v>21</v>
      </c>
    </row>
    <row r="29" spans="1:27" x14ac:dyDescent="0.25">
      <c r="A29">
        <v>2019</v>
      </c>
      <c r="B29" s="2">
        <v>1.5</v>
      </c>
      <c r="C29" s="2">
        <v>4.8</v>
      </c>
      <c r="D29" s="2">
        <v>9.5</v>
      </c>
      <c r="E29" s="2">
        <v>12.4</v>
      </c>
      <c r="F29" s="2">
        <v>13.7</v>
      </c>
      <c r="G29" s="2">
        <v>23.8</v>
      </c>
      <c r="H29" s="2">
        <v>22.9</v>
      </c>
      <c r="I29" s="2">
        <v>23.5</v>
      </c>
      <c r="J29" s="2">
        <v>17.3</v>
      </c>
      <c r="K29" s="2">
        <v>13.2</v>
      </c>
      <c r="L29" s="2">
        <v>9.1999999999999993</v>
      </c>
      <c r="M29" s="2">
        <v>4.5999999999999996</v>
      </c>
      <c r="O29">
        <v>2019</v>
      </c>
      <c r="P29" s="2">
        <v>35.799999999999997</v>
      </c>
      <c r="Q29" s="2">
        <v>25.1</v>
      </c>
      <c r="R29" s="2">
        <v>36.799999999999997</v>
      </c>
      <c r="S29" s="2">
        <v>81.099999999999994</v>
      </c>
      <c r="T29" s="2">
        <v>147.69999999999999</v>
      </c>
      <c r="U29" s="2">
        <v>70.8</v>
      </c>
      <c r="V29" s="2">
        <v>76.8</v>
      </c>
      <c r="W29" s="2">
        <v>56.7</v>
      </c>
      <c r="X29" s="2">
        <v>150.1</v>
      </c>
      <c r="Y29" s="2">
        <v>42.3</v>
      </c>
      <c r="Z29" s="2">
        <v>179.2</v>
      </c>
      <c r="AA29" s="2">
        <v>98.1</v>
      </c>
    </row>
    <row r="30" spans="1:27" x14ac:dyDescent="0.25">
      <c r="A30">
        <v>2020</v>
      </c>
      <c r="B30" s="2">
        <v>1.1000000000000001</v>
      </c>
      <c r="C30" s="2">
        <v>7.6</v>
      </c>
      <c r="D30" s="2">
        <v>7.8</v>
      </c>
      <c r="E30" s="2">
        <v>13.2</v>
      </c>
      <c r="F30" s="2">
        <v>15.7</v>
      </c>
      <c r="G30" s="2">
        <v>20.3</v>
      </c>
      <c r="H30" s="2">
        <v>21.8</v>
      </c>
      <c r="I30" s="2">
        <v>22.9</v>
      </c>
      <c r="J30" s="2">
        <v>18.100000000000001</v>
      </c>
      <c r="K30" s="2">
        <v>12.6</v>
      </c>
      <c r="L30" s="2">
        <v>5.7</v>
      </c>
      <c r="M30" s="2">
        <v>4.0999999999999996</v>
      </c>
      <c r="O30">
        <v>2020</v>
      </c>
      <c r="P30" s="2">
        <v>8.6999999999999993</v>
      </c>
      <c r="Q30" s="2">
        <v>40.5</v>
      </c>
      <c r="R30" s="2">
        <v>29.5</v>
      </c>
      <c r="S30" s="2">
        <v>23.4</v>
      </c>
      <c r="T30" s="2">
        <v>96.7</v>
      </c>
      <c r="U30" s="2">
        <v>104.4</v>
      </c>
      <c r="V30" s="2">
        <v>159.6</v>
      </c>
      <c r="W30" s="2">
        <v>98.8</v>
      </c>
      <c r="X30" s="2">
        <v>100.7</v>
      </c>
      <c r="Y30" s="2">
        <v>159.30000000000001</v>
      </c>
      <c r="Z30" s="2">
        <v>39.5</v>
      </c>
      <c r="AA30" s="2">
        <v>89.3</v>
      </c>
    </row>
    <row r="31" spans="1:27" x14ac:dyDescent="0.25">
      <c r="A31">
        <v>2021</v>
      </c>
      <c r="B31" s="2">
        <v>2.8</v>
      </c>
      <c r="C31" s="2">
        <v>5.7</v>
      </c>
      <c r="D31" s="2">
        <v>6.8</v>
      </c>
      <c r="E31" s="2">
        <v>9.8000000000000007</v>
      </c>
      <c r="F31" s="2">
        <v>14.7</v>
      </c>
      <c r="G31" s="2">
        <v>23.3</v>
      </c>
      <c r="H31" s="2">
        <v>24</v>
      </c>
      <c r="I31" s="2">
        <v>21.4</v>
      </c>
      <c r="J31" s="2">
        <v>17.899999999999999</v>
      </c>
      <c r="K31" s="2">
        <v>10.1</v>
      </c>
      <c r="L31" s="2">
        <v>6.5</v>
      </c>
      <c r="M31" s="2">
        <v>3.6</v>
      </c>
      <c r="O31">
        <v>2021</v>
      </c>
      <c r="P31" s="2">
        <v>70.2</v>
      </c>
      <c r="Q31" s="2">
        <v>29</v>
      </c>
      <c r="R31" s="2">
        <v>36.1</v>
      </c>
      <c r="S31" s="2">
        <v>68.7</v>
      </c>
      <c r="T31" s="2">
        <v>124</v>
      </c>
      <c r="U31" s="2">
        <v>13.2</v>
      </c>
      <c r="V31" s="2">
        <v>74.5</v>
      </c>
      <c r="W31" s="2">
        <v>62.7</v>
      </c>
      <c r="X31" s="2">
        <v>34.6</v>
      </c>
      <c r="Y31" s="2">
        <v>86.2</v>
      </c>
      <c r="Z31" s="2">
        <v>89.2</v>
      </c>
      <c r="AA31" s="2">
        <v>83.8</v>
      </c>
    </row>
    <row r="32" spans="1:27" x14ac:dyDescent="0.25">
      <c r="A32">
        <v>2022</v>
      </c>
      <c r="B32" s="2">
        <v>2</v>
      </c>
      <c r="C32" s="2">
        <v>5.7</v>
      </c>
      <c r="D32" s="2">
        <v>6.3</v>
      </c>
      <c r="E32" s="2">
        <v>11.1</v>
      </c>
      <c r="F32" s="2">
        <v>18.5</v>
      </c>
      <c r="G32" s="2">
        <v>23.3</v>
      </c>
      <c r="H32" s="2">
        <v>24</v>
      </c>
      <c r="I32" s="2">
        <v>23.5</v>
      </c>
      <c r="J32" s="2">
        <v>16.8</v>
      </c>
      <c r="K32" s="2">
        <v>14.3</v>
      </c>
      <c r="L32" s="2">
        <v>7.9</v>
      </c>
      <c r="M32" s="2">
        <v>4.7</v>
      </c>
      <c r="O32">
        <v>2022</v>
      </c>
      <c r="P32" s="2">
        <v>24.3</v>
      </c>
      <c r="Q32" s="2">
        <v>38.5</v>
      </c>
      <c r="R32" s="2">
        <v>8.6999999999999993</v>
      </c>
      <c r="S32" s="2">
        <v>82</v>
      </c>
      <c r="T32" s="2">
        <v>52.5</v>
      </c>
      <c r="U32" s="2">
        <v>63</v>
      </c>
      <c r="V32" s="2">
        <v>57.7</v>
      </c>
      <c r="W32" s="2">
        <v>20.3</v>
      </c>
      <c r="X32" s="2">
        <v>259.10000000000002</v>
      </c>
      <c r="Y32" s="2">
        <v>21.8</v>
      </c>
      <c r="Z32" s="2">
        <v>101.4</v>
      </c>
      <c r="AA32" s="2">
        <v>97</v>
      </c>
    </row>
    <row r="33" spans="1:27" x14ac:dyDescent="0.25">
      <c r="A33">
        <v>2023</v>
      </c>
      <c r="B33" s="2">
        <v>4.9000000000000004</v>
      </c>
      <c r="C33" s="2">
        <v>4.2</v>
      </c>
      <c r="D33" s="2">
        <v>9</v>
      </c>
      <c r="E33" s="2">
        <v>10.8</v>
      </c>
      <c r="F33" s="2">
        <v>16.5</v>
      </c>
      <c r="G33" s="2">
        <v>21.1</v>
      </c>
      <c r="H33" s="2">
        <v>23.5</v>
      </c>
      <c r="I33" s="2">
        <v>22</v>
      </c>
      <c r="J33" s="2">
        <v>19.899999999999999</v>
      </c>
      <c r="K33" s="2">
        <v>15.6</v>
      </c>
      <c r="L33" s="2">
        <v>7.3</v>
      </c>
      <c r="M33" s="2">
        <v>4.8</v>
      </c>
      <c r="O33">
        <v>2023</v>
      </c>
      <c r="P33" s="2">
        <v>155.69999999999999</v>
      </c>
      <c r="Q33" s="2">
        <v>35.4</v>
      </c>
      <c r="R33" s="2">
        <v>69.900000000000006</v>
      </c>
      <c r="S33" s="2">
        <v>91.6</v>
      </c>
      <c r="T33" s="2">
        <v>136.1</v>
      </c>
      <c r="U33" s="2">
        <v>57.7</v>
      </c>
      <c r="V33" s="2">
        <v>145.69999999999999</v>
      </c>
      <c r="W33" s="2">
        <v>126</v>
      </c>
      <c r="X33" s="2">
        <v>120.2</v>
      </c>
      <c r="Y33" s="2">
        <v>62.2</v>
      </c>
      <c r="Z33" s="2">
        <v>119.5</v>
      </c>
      <c r="AA33" s="2">
        <v>100.2</v>
      </c>
    </row>
    <row r="34" spans="1:27" x14ac:dyDescent="0.25">
      <c r="A34">
        <v>2024</v>
      </c>
      <c r="B34">
        <v>2</v>
      </c>
      <c r="C34">
        <v>9.1999999999999993</v>
      </c>
      <c r="D34">
        <v>10.4</v>
      </c>
      <c r="E34">
        <v>13.8</v>
      </c>
      <c r="F34">
        <v>17.7</v>
      </c>
      <c r="G34">
        <v>22.4</v>
      </c>
      <c r="H34">
        <v>24.9</v>
      </c>
      <c r="I34">
        <v>25.3</v>
      </c>
      <c r="J34">
        <v>17.899999999999999</v>
      </c>
      <c r="K34">
        <v>13.5</v>
      </c>
      <c r="L34">
        <v>5.4</v>
      </c>
      <c r="M34">
        <v>3.1</v>
      </c>
      <c r="O34">
        <v>2024</v>
      </c>
      <c r="P34">
        <v>64.599999999999994</v>
      </c>
      <c r="Q34">
        <v>30.1</v>
      </c>
      <c r="R34">
        <v>95</v>
      </c>
      <c r="S34">
        <v>43.3</v>
      </c>
      <c r="T34">
        <v>86.8</v>
      </c>
      <c r="U34">
        <v>79.900000000000006</v>
      </c>
      <c r="V34">
        <v>120.1</v>
      </c>
      <c r="W34">
        <v>108.5</v>
      </c>
      <c r="X34">
        <v>167.4</v>
      </c>
      <c r="Y34">
        <v>96.9</v>
      </c>
      <c r="Z34">
        <v>79.599999999999994</v>
      </c>
      <c r="AA34">
        <v>40.9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967B-1B19-417A-A7C0-A5FA6A733C58}">
  <dimension ref="A1:AA64"/>
  <sheetViews>
    <sheetView topLeftCell="A17" workbookViewId="0">
      <selection activeCell="E41" sqref="E41"/>
    </sheetView>
  </sheetViews>
  <sheetFormatPr defaultRowHeight="15" x14ac:dyDescent="0.25"/>
  <sheetData>
    <row r="1" spans="1:27" x14ac:dyDescent="0.25">
      <c r="A1" s="1"/>
      <c r="B1" s="1"/>
      <c r="C1" s="1"/>
      <c r="D1" s="1" t="s">
        <v>1</v>
      </c>
      <c r="O1" s="1"/>
      <c r="P1" s="1"/>
      <c r="Q1" s="1"/>
      <c r="R1" s="1" t="s">
        <v>52</v>
      </c>
    </row>
    <row r="2" spans="1:27" s="31" customFormat="1" x14ac:dyDescent="0.25">
      <c r="A2" s="30" t="s">
        <v>53</v>
      </c>
      <c r="B2" s="4">
        <f>AVERAGE(B5:B46)</f>
        <v>-3.5166666666666666</v>
      </c>
      <c r="C2" s="4">
        <f t="shared" ref="C2:L2" si="0">AVERAGE(C5:C46)</f>
        <v>-3.3899999999999997</v>
      </c>
      <c r="D2" s="4">
        <f t="shared" si="0"/>
        <v>-1.3</v>
      </c>
      <c r="E2" s="4">
        <f t="shared" si="0"/>
        <v>2.67</v>
      </c>
      <c r="F2" s="4">
        <f t="shared" si="0"/>
        <v>7.31</v>
      </c>
      <c r="G2" s="4">
        <f t="shared" si="0"/>
        <v>11.75</v>
      </c>
      <c r="H2" s="4">
        <f t="shared" si="0"/>
        <v>13.933333333333332</v>
      </c>
      <c r="I2" s="4">
        <f t="shared" si="0"/>
        <v>13.88</v>
      </c>
      <c r="J2" s="4">
        <f t="shared" si="0"/>
        <v>8.8400000000000016</v>
      </c>
      <c r="K2" s="4">
        <f t="shared" si="0"/>
        <v>5.8800000000000017</v>
      </c>
      <c r="L2" s="4">
        <f t="shared" si="0"/>
        <v>1.3233333333333333</v>
      </c>
      <c r="M2" s="4">
        <f>AVERAGE(M5:M46)</f>
        <v>-2.2899999999999996</v>
      </c>
      <c r="O2" s="30"/>
      <c r="P2" s="4">
        <f>AVERAGE(P5:P46)</f>
        <v>173.58666666666667</v>
      </c>
      <c r="Q2" s="4">
        <f t="shared" ref="Q2:Z2" si="1">AVERAGE(Q5:Q46)</f>
        <v>172.87666666666667</v>
      </c>
      <c r="R2" s="4">
        <f t="shared" si="1"/>
        <v>149.95666666666665</v>
      </c>
      <c r="S2" s="4">
        <f t="shared" si="1"/>
        <v>158.56333333333336</v>
      </c>
      <c r="T2" s="4">
        <f t="shared" si="1"/>
        <v>160.61333333333332</v>
      </c>
      <c r="U2" s="4">
        <f t="shared" si="1"/>
        <v>109.90666666666667</v>
      </c>
      <c r="V2" s="4">
        <f t="shared" si="1"/>
        <v>87.480333333333348</v>
      </c>
      <c r="W2" s="4">
        <f t="shared" si="1"/>
        <v>105.3833333333333</v>
      </c>
      <c r="X2" s="4">
        <f t="shared" si="1"/>
        <v>211.73333333333329</v>
      </c>
      <c r="Y2" s="4">
        <f t="shared" si="1"/>
        <v>184.05</v>
      </c>
      <c r="Z2" s="4">
        <f t="shared" si="1"/>
        <v>257.57666666666665</v>
      </c>
      <c r="AA2" s="4">
        <f>AVERAGE(AA5:AA46)</f>
        <v>222.66000000000003</v>
      </c>
    </row>
    <row r="3" spans="1:27" x14ac:dyDescent="0.25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</row>
    <row r="4" spans="1:27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25">
      <c r="A5">
        <v>1995</v>
      </c>
      <c r="B5" s="2">
        <v>-6.1</v>
      </c>
      <c r="C5" s="2">
        <v>-0.4</v>
      </c>
      <c r="D5" s="2">
        <v>-3.6</v>
      </c>
      <c r="E5" s="2">
        <v>2.1</v>
      </c>
      <c r="F5" s="2">
        <v>5.9</v>
      </c>
      <c r="G5" s="2">
        <v>8.8000000000000007</v>
      </c>
      <c r="H5" s="2">
        <v>14.5</v>
      </c>
      <c r="I5" s="2">
        <v>10.5</v>
      </c>
      <c r="J5" s="2">
        <v>6.7</v>
      </c>
      <c r="K5" s="2">
        <v>8.3000000000000007</v>
      </c>
      <c r="L5" s="2">
        <v>-1.1000000000000001</v>
      </c>
      <c r="M5" s="2">
        <v>-2.7</v>
      </c>
      <c r="O5">
        <v>1995</v>
      </c>
      <c r="P5" s="2">
        <v>245.4</v>
      </c>
      <c r="Q5" s="2">
        <v>248.8</v>
      </c>
      <c r="R5" s="2">
        <v>236.3</v>
      </c>
      <c r="S5" s="2">
        <v>113</v>
      </c>
      <c r="T5" s="2">
        <v>175.1</v>
      </c>
      <c r="U5" s="2">
        <v>279.10000000000002</v>
      </c>
      <c r="V5" s="2">
        <v>58</v>
      </c>
      <c r="W5" s="2">
        <v>146.1</v>
      </c>
      <c r="X5" s="2">
        <v>220.9</v>
      </c>
      <c r="Y5" s="2">
        <v>22.8</v>
      </c>
      <c r="Z5" s="2">
        <v>128.6</v>
      </c>
      <c r="AA5" s="2">
        <v>343.5</v>
      </c>
    </row>
    <row r="6" spans="1:27" x14ac:dyDescent="0.25">
      <c r="A6">
        <v>1996</v>
      </c>
      <c r="B6" s="2">
        <v>-2.9</v>
      </c>
      <c r="C6" s="2">
        <v>-6.7</v>
      </c>
      <c r="D6" s="2">
        <v>-4.9000000000000004</v>
      </c>
      <c r="E6" s="2">
        <v>2.8</v>
      </c>
      <c r="F6" s="2">
        <v>7.7</v>
      </c>
      <c r="G6" s="2">
        <v>10.9</v>
      </c>
      <c r="H6" s="2">
        <v>11.5</v>
      </c>
      <c r="I6" s="2">
        <v>11.7</v>
      </c>
      <c r="J6" s="2">
        <v>5.3</v>
      </c>
      <c r="K6" s="2">
        <v>3.6</v>
      </c>
      <c r="L6" s="2">
        <v>1.3</v>
      </c>
      <c r="M6" s="2">
        <v>-3.2</v>
      </c>
      <c r="O6">
        <v>1996</v>
      </c>
      <c r="P6" s="2">
        <v>119.9</v>
      </c>
      <c r="Q6" s="2">
        <v>163.5</v>
      </c>
      <c r="R6" s="2">
        <v>49.9</v>
      </c>
      <c r="S6" s="2">
        <v>113.7</v>
      </c>
      <c r="T6" s="2">
        <v>216.3</v>
      </c>
      <c r="U6" s="2">
        <v>126.3</v>
      </c>
      <c r="V6" s="2">
        <v>111.4</v>
      </c>
      <c r="W6" s="2">
        <v>152.19999999999999</v>
      </c>
      <c r="X6" s="2">
        <v>330.2</v>
      </c>
      <c r="Y6" s="2">
        <v>212.2</v>
      </c>
      <c r="Z6" s="2">
        <v>345.7</v>
      </c>
      <c r="AA6" s="2">
        <v>267</v>
      </c>
    </row>
    <row r="7" spans="1:27" x14ac:dyDescent="0.25">
      <c r="A7">
        <v>1997</v>
      </c>
      <c r="B7" s="2">
        <v>-0.4</v>
      </c>
      <c r="C7" s="2">
        <v>-1.7</v>
      </c>
      <c r="D7" s="2">
        <v>-0.2</v>
      </c>
      <c r="E7" s="2">
        <v>-2.2000000000000002</v>
      </c>
      <c r="F7" s="2">
        <v>7.2</v>
      </c>
      <c r="G7" s="2">
        <v>11.2</v>
      </c>
      <c r="H7" s="2">
        <v>12.1</v>
      </c>
      <c r="I7" s="2">
        <v>11.4</v>
      </c>
      <c r="J7" s="2">
        <v>9.5</v>
      </c>
      <c r="K7" s="2">
        <v>3.5</v>
      </c>
      <c r="L7" s="2">
        <v>1.4</v>
      </c>
      <c r="M7" s="2">
        <v>-2.7</v>
      </c>
      <c r="O7">
        <v>1997</v>
      </c>
      <c r="P7" s="2">
        <v>160.80000000000001</v>
      </c>
      <c r="Q7" s="2">
        <v>128.80000000000001</v>
      </c>
      <c r="R7" s="2">
        <v>92.7</v>
      </c>
      <c r="S7" s="2">
        <v>217.8</v>
      </c>
      <c r="T7" s="2">
        <v>95.5</v>
      </c>
      <c r="U7" s="2">
        <v>168.1</v>
      </c>
      <c r="V7" s="2">
        <v>105.5</v>
      </c>
      <c r="W7" s="2">
        <v>183.6</v>
      </c>
      <c r="X7" s="2">
        <v>58.6</v>
      </c>
      <c r="Y7" s="2">
        <v>128.30000000000001</v>
      </c>
      <c r="Z7" s="2">
        <v>326.8</v>
      </c>
      <c r="AA7" s="2">
        <v>264.8</v>
      </c>
    </row>
    <row r="8" spans="1:27" x14ac:dyDescent="0.25">
      <c r="A8">
        <v>1998</v>
      </c>
      <c r="B8" s="2">
        <v>-2.5</v>
      </c>
      <c r="C8" s="2">
        <v>0.1</v>
      </c>
      <c r="D8" s="2">
        <v>-3.4</v>
      </c>
      <c r="E8" s="2">
        <v>2.7</v>
      </c>
      <c r="F8" s="2">
        <v>6.4</v>
      </c>
      <c r="G8" s="2">
        <v>11.5</v>
      </c>
      <c r="H8" s="2">
        <v>14.6</v>
      </c>
      <c r="I8" s="2">
        <v>14.2</v>
      </c>
      <c r="J8" s="2">
        <v>7.9</v>
      </c>
      <c r="K8" s="2">
        <v>5.5</v>
      </c>
      <c r="L8" s="2">
        <v>-3</v>
      </c>
      <c r="M8" s="2">
        <v>-4</v>
      </c>
      <c r="O8">
        <v>1998</v>
      </c>
      <c r="P8" s="2">
        <v>172.2</v>
      </c>
      <c r="Q8" s="2">
        <v>40.799999999999997</v>
      </c>
      <c r="R8" s="2">
        <v>48.1</v>
      </c>
      <c r="S8" s="2">
        <v>207.5</v>
      </c>
      <c r="T8" s="2">
        <v>114.6</v>
      </c>
      <c r="U8" s="2">
        <v>194.8</v>
      </c>
      <c r="V8" s="2">
        <v>69</v>
      </c>
      <c r="W8" s="2">
        <v>59.2</v>
      </c>
      <c r="X8" s="2">
        <v>415.9</v>
      </c>
      <c r="Y8" s="2">
        <v>270.60000000000002</v>
      </c>
      <c r="Z8" s="2">
        <v>217.8</v>
      </c>
      <c r="AA8" s="2">
        <v>176.8</v>
      </c>
    </row>
    <row r="9" spans="1:27" x14ac:dyDescent="0.25">
      <c r="A9">
        <v>1999</v>
      </c>
      <c r="B9" s="2">
        <v>-1.7</v>
      </c>
      <c r="C9" s="2">
        <v>-6</v>
      </c>
      <c r="D9" s="2">
        <v>-0.9</v>
      </c>
      <c r="E9" s="2">
        <v>2.5</v>
      </c>
      <c r="F9" s="2">
        <v>8.1</v>
      </c>
      <c r="G9" s="2">
        <v>11</v>
      </c>
      <c r="H9" s="2">
        <v>12.2</v>
      </c>
      <c r="I9" s="2">
        <v>13.1</v>
      </c>
      <c r="J9" s="2">
        <v>10.3</v>
      </c>
      <c r="K9" s="2">
        <v>6.1</v>
      </c>
      <c r="L9" s="2">
        <v>-0.7</v>
      </c>
      <c r="M9" s="2">
        <v>-3.7</v>
      </c>
      <c r="O9">
        <v>1999</v>
      </c>
      <c r="P9" s="16">
        <v>197.6</v>
      </c>
      <c r="Q9" s="16">
        <v>300.2</v>
      </c>
      <c r="R9" s="16">
        <v>140.6</v>
      </c>
      <c r="S9" s="16">
        <v>252</v>
      </c>
      <c r="T9" s="16">
        <v>188.5</v>
      </c>
      <c r="U9" s="16">
        <v>108.3</v>
      </c>
      <c r="V9" s="16">
        <v>76.8</v>
      </c>
      <c r="W9" s="16">
        <v>56.7</v>
      </c>
      <c r="X9" s="16">
        <v>145.6</v>
      </c>
      <c r="Y9" s="16">
        <v>212.1</v>
      </c>
      <c r="Z9" s="16">
        <v>316.3</v>
      </c>
      <c r="AA9" s="16">
        <v>331.9</v>
      </c>
    </row>
    <row r="10" spans="1:27" x14ac:dyDescent="0.25">
      <c r="A10">
        <v>2000</v>
      </c>
      <c r="B10" s="2">
        <v>-5.2</v>
      </c>
      <c r="C10" s="2">
        <v>-2.8</v>
      </c>
      <c r="D10" s="2">
        <v>-1.8</v>
      </c>
      <c r="E10" s="2">
        <v>4.7</v>
      </c>
      <c r="F10" s="2">
        <v>8.8000000000000007</v>
      </c>
      <c r="G10" s="2">
        <v>12.4</v>
      </c>
      <c r="H10" s="2">
        <v>11.3</v>
      </c>
      <c r="I10" s="2">
        <v>14.8</v>
      </c>
      <c r="J10" s="2">
        <v>8.8000000000000007</v>
      </c>
      <c r="K10" s="2">
        <v>6.8</v>
      </c>
      <c r="L10" s="2">
        <v>3.1</v>
      </c>
      <c r="M10" s="2">
        <v>-0.2</v>
      </c>
      <c r="O10">
        <v>2000</v>
      </c>
      <c r="P10" s="16">
        <v>55.4</v>
      </c>
      <c r="Q10" s="16">
        <v>93.1</v>
      </c>
      <c r="R10" s="16">
        <v>154.5</v>
      </c>
      <c r="S10" s="16">
        <v>58.8</v>
      </c>
      <c r="T10" s="16">
        <v>78.400000000000006</v>
      </c>
      <c r="U10" s="16">
        <v>27.7</v>
      </c>
      <c r="V10" s="16">
        <v>110.3</v>
      </c>
      <c r="W10" s="16">
        <v>7</v>
      </c>
      <c r="X10" s="16">
        <v>247.4</v>
      </c>
      <c r="Y10" s="16">
        <v>278.3</v>
      </c>
      <c r="Z10" s="16">
        <v>400.5</v>
      </c>
      <c r="AA10" s="16">
        <v>406.9</v>
      </c>
    </row>
    <row r="11" spans="1:27" x14ac:dyDescent="0.25">
      <c r="A11">
        <v>2001</v>
      </c>
      <c r="B11" s="2">
        <v>-2.8</v>
      </c>
      <c r="C11" s="2">
        <v>-3.2</v>
      </c>
      <c r="D11" s="2">
        <v>1.6</v>
      </c>
      <c r="E11" s="2">
        <v>1</v>
      </c>
      <c r="F11" s="2">
        <v>8.4</v>
      </c>
      <c r="G11" s="2">
        <v>9.6</v>
      </c>
      <c r="H11" s="2">
        <v>12.6</v>
      </c>
      <c r="I11" s="2">
        <v>14.4</v>
      </c>
      <c r="J11" s="2">
        <v>6.2</v>
      </c>
      <c r="K11" s="2">
        <v>7.7</v>
      </c>
      <c r="L11" s="2">
        <v>-1.5</v>
      </c>
      <c r="M11" s="2">
        <v>-8.3000000000000007</v>
      </c>
      <c r="O11">
        <v>2001</v>
      </c>
      <c r="P11" s="16">
        <v>287.10000000000002</v>
      </c>
      <c r="Q11" s="16">
        <v>219.8</v>
      </c>
      <c r="R11" s="16">
        <v>274.7</v>
      </c>
      <c r="S11" s="16">
        <v>166.9</v>
      </c>
      <c r="T11" s="16">
        <v>108.8</v>
      </c>
      <c r="U11" s="16">
        <v>153.6</v>
      </c>
      <c r="V11" s="16">
        <v>67.3</v>
      </c>
      <c r="W11" s="16">
        <v>10.4</v>
      </c>
      <c r="X11" s="16">
        <v>241.9</v>
      </c>
      <c r="Y11" s="16">
        <v>137.1</v>
      </c>
      <c r="Z11" s="16">
        <v>256.39999999999998</v>
      </c>
      <c r="AA11" s="16">
        <v>214.7</v>
      </c>
    </row>
    <row r="12" spans="1:27" x14ac:dyDescent="0.25">
      <c r="A12">
        <v>2002</v>
      </c>
      <c r="B12" s="17">
        <v>-3.8</v>
      </c>
      <c r="C12" s="17">
        <v>-0.7</v>
      </c>
      <c r="D12" s="17">
        <v>1</v>
      </c>
      <c r="E12" s="17">
        <v>1.9</v>
      </c>
      <c r="F12" s="17">
        <v>8.4</v>
      </c>
      <c r="G12" s="17">
        <v>12.2</v>
      </c>
      <c r="H12" s="17">
        <v>12.4</v>
      </c>
      <c r="I12" s="17">
        <v>15.2</v>
      </c>
      <c r="J12" s="17">
        <v>6.1</v>
      </c>
      <c r="K12" s="17">
        <v>5.2</v>
      </c>
      <c r="L12" s="17">
        <v>2.4</v>
      </c>
      <c r="M12" s="17">
        <v>-2.8</v>
      </c>
      <c r="O12">
        <v>2002</v>
      </c>
      <c r="P12" s="17">
        <v>60</v>
      </c>
      <c r="Q12" s="17">
        <v>215</v>
      </c>
      <c r="R12" s="17">
        <v>62</v>
      </c>
      <c r="S12" s="17">
        <v>221</v>
      </c>
      <c r="T12" s="17">
        <v>162</v>
      </c>
      <c r="U12" s="17">
        <v>88</v>
      </c>
      <c r="V12" s="17">
        <v>56</v>
      </c>
      <c r="W12" s="17">
        <v>370</v>
      </c>
      <c r="X12" s="17">
        <v>409</v>
      </c>
      <c r="Y12" s="17">
        <v>107</v>
      </c>
      <c r="Z12" s="17">
        <v>283</v>
      </c>
      <c r="AA12" s="17">
        <v>242</v>
      </c>
    </row>
    <row r="13" spans="1:27" x14ac:dyDescent="0.25">
      <c r="A13">
        <v>2003</v>
      </c>
      <c r="B13" s="17">
        <v>-4.7</v>
      </c>
      <c r="C13" s="17">
        <v>-9.4</v>
      </c>
      <c r="D13" s="17">
        <v>-1.4</v>
      </c>
      <c r="E13" s="17">
        <v>0.5</v>
      </c>
      <c r="F13" s="17">
        <v>9.8000000000000007</v>
      </c>
      <c r="G13" s="17">
        <v>14.6</v>
      </c>
      <c r="H13" s="17">
        <v>14.3</v>
      </c>
      <c r="I13" s="17">
        <v>16.399999999999999</v>
      </c>
      <c r="J13" s="17">
        <v>7.6</v>
      </c>
      <c r="K13" s="17">
        <v>2.1</v>
      </c>
      <c r="L13" s="17">
        <v>1.8</v>
      </c>
      <c r="M13" s="17">
        <v>-3</v>
      </c>
      <c r="O13">
        <v>2003</v>
      </c>
      <c r="P13" s="17">
        <v>233.7</v>
      </c>
      <c r="Q13" s="17">
        <v>82.4</v>
      </c>
      <c r="R13" s="17">
        <v>116.6</v>
      </c>
      <c r="S13" s="17">
        <v>89.2</v>
      </c>
      <c r="T13" s="17">
        <v>84.2</v>
      </c>
      <c r="U13" s="17">
        <v>60.4</v>
      </c>
      <c r="V13" s="17">
        <v>0.91</v>
      </c>
      <c r="W13" s="17">
        <v>17.3</v>
      </c>
      <c r="X13" s="17">
        <v>114.5</v>
      </c>
      <c r="Y13" s="17">
        <v>311.89999999999998</v>
      </c>
      <c r="Z13" s="17">
        <v>166.3</v>
      </c>
      <c r="AA13" s="17">
        <v>151.5</v>
      </c>
    </row>
    <row r="14" spans="1:27" x14ac:dyDescent="0.25">
      <c r="A14">
        <v>2004</v>
      </c>
      <c r="B14" s="16">
        <v>-6.9</v>
      </c>
      <c r="C14" s="16">
        <v>-3.3</v>
      </c>
      <c r="D14" s="16">
        <v>-3</v>
      </c>
      <c r="E14" s="16">
        <v>1.6</v>
      </c>
      <c r="F14" s="16">
        <v>4.0999999999999996</v>
      </c>
      <c r="G14" s="16">
        <v>10.4</v>
      </c>
      <c r="H14" s="16">
        <v>13.3</v>
      </c>
      <c r="I14" s="16">
        <v>13.4</v>
      </c>
      <c r="J14" s="16">
        <v>8.1999999999999993</v>
      </c>
      <c r="K14" s="16">
        <v>6.7</v>
      </c>
      <c r="L14" s="16">
        <v>0.3</v>
      </c>
      <c r="M14" s="16">
        <v>-1.3</v>
      </c>
      <c r="O14">
        <v>2004</v>
      </c>
      <c r="P14" s="16">
        <v>181.6</v>
      </c>
      <c r="Q14" s="16">
        <v>267.5</v>
      </c>
      <c r="R14" s="16">
        <v>202.7</v>
      </c>
      <c r="S14" s="16">
        <v>279.10000000000002</v>
      </c>
      <c r="T14" s="16">
        <v>206.5</v>
      </c>
      <c r="U14" s="16">
        <v>105</v>
      </c>
      <c r="V14" s="16">
        <v>41</v>
      </c>
      <c r="W14" s="16">
        <v>58.3</v>
      </c>
      <c r="X14" s="16">
        <v>169.3</v>
      </c>
      <c r="Y14" s="16">
        <v>232.9</v>
      </c>
      <c r="Z14" s="16">
        <v>194.9</v>
      </c>
      <c r="AA14" s="16">
        <v>234.3</v>
      </c>
    </row>
    <row r="15" spans="1:27" x14ac:dyDescent="0.25">
      <c r="A15">
        <v>2005</v>
      </c>
      <c r="B15" s="16">
        <v>-6.5</v>
      </c>
      <c r="C15" s="16">
        <v>-8.3000000000000007</v>
      </c>
      <c r="D15" s="16">
        <v>-3.1</v>
      </c>
      <c r="E15" s="16">
        <v>0.8</v>
      </c>
      <c r="F15" s="16">
        <v>7.3</v>
      </c>
      <c r="G15" s="16">
        <v>10.6</v>
      </c>
      <c r="H15" s="16">
        <v>12.9</v>
      </c>
      <c r="I15" s="16">
        <v>9.4</v>
      </c>
      <c r="J15" s="16">
        <v>8.1999999999999993</v>
      </c>
      <c r="K15" s="16">
        <v>5.4</v>
      </c>
      <c r="L15" s="16">
        <v>-0.3</v>
      </c>
      <c r="M15" s="16">
        <v>-5.4</v>
      </c>
      <c r="O15">
        <v>2005</v>
      </c>
      <c r="P15" s="16">
        <v>150.19999999999999</v>
      </c>
      <c r="Q15" s="16">
        <v>180.6</v>
      </c>
      <c r="R15" s="16">
        <v>55.8</v>
      </c>
      <c r="S15" s="16">
        <v>204.9</v>
      </c>
      <c r="T15" s="16">
        <v>168.1</v>
      </c>
      <c r="U15" s="16">
        <v>44</v>
      </c>
      <c r="V15" s="16">
        <v>86.1</v>
      </c>
      <c r="W15" s="16">
        <v>267.89999999999998</v>
      </c>
      <c r="X15" s="16">
        <v>166</v>
      </c>
      <c r="Y15" s="16">
        <v>151.5</v>
      </c>
      <c r="Z15" s="16">
        <v>253.2</v>
      </c>
      <c r="AA15" s="16">
        <v>286.5</v>
      </c>
    </row>
    <row r="16" spans="1:27" x14ac:dyDescent="0.25">
      <c r="A16">
        <v>2006</v>
      </c>
      <c r="B16" s="16">
        <v>-7.1</v>
      </c>
      <c r="C16" s="16">
        <v>-5.9</v>
      </c>
      <c r="D16" s="16">
        <v>-4.5999999999999996</v>
      </c>
      <c r="E16" s="16">
        <v>2.6</v>
      </c>
      <c r="F16" s="16">
        <v>7.3</v>
      </c>
      <c r="G16" s="16">
        <v>11.1</v>
      </c>
      <c r="H16" s="16">
        <v>14.4</v>
      </c>
      <c r="I16" s="16">
        <v>10.9</v>
      </c>
      <c r="J16" s="16">
        <v>10.5</v>
      </c>
      <c r="K16" s="16">
        <v>7.3</v>
      </c>
      <c r="L16" s="16">
        <v>1.9</v>
      </c>
      <c r="M16" s="16">
        <v>-0.4</v>
      </c>
      <c r="O16">
        <v>2006</v>
      </c>
      <c r="P16" s="16">
        <v>120.2</v>
      </c>
      <c r="Q16" s="16">
        <v>88.7</v>
      </c>
      <c r="R16" s="16">
        <v>213</v>
      </c>
      <c r="S16" s="16">
        <v>193.3</v>
      </c>
      <c r="T16" s="16">
        <v>196.9</v>
      </c>
      <c r="U16" s="16">
        <v>97.5</v>
      </c>
      <c r="V16" s="16">
        <v>80.900000000000006</v>
      </c>
      <c r="W16" s="16">
        <v>247.5</v>
      </c>
      <c r="X16" s="16">
        <v>62.4</v>
      </c>
      <c r="Y16" s="16">
        <v>52.1</v>
      </c>
      <c r="Z16" s="16">
        <v>146.1</v>
      </c>
      <c r="AA16" s="16">
        <v>78</v>
      </c>
    </row>
    <row r="17" spans="1:27" x14ac:dyDescent="0.25">
      <c r="A17">
        <v>2007</v>
      </c>
      <c r="B17" s="16">
        <v>0.1</v>
      </c>
      <c r="C17" s="16">
        <v>-1</v>
      </c>
      <c r="D17" s="16">
        <v>-0.3</v>
      </c>
      <c r="E17" s="16">
        <v>5.8</v>
      </c>
      <c r="F17" s="16">
        <v>8.3000000000000007</v>
      </c>
      <c r="G17" s="16">
        <v>12.3</v>
      </c>
      <c r="H17" s="16">
        <v>14.6</v>
      </c>
      <c r="I17" s="16">
        <v>12.9</v>
      </c>
      <c r="J17" s="16">
        <v>7.1</v>
      </c>
      <c r="K17" s="16">
        <v>3.6</v>
      </c>
      <c r="L17" s="16">
        <v>-1.9</v>
      </c>
      <c r="M17" s="16">
        <v>-4</v>
      </c>
      <c r="O17">
        <v>2007</v>
      </c>
      <c r="P17" s="16">
        <v>208.3</v>
      </c>
      <c r="Q17" s="16">
        <v>124.9</v>
      </c>
      <c r="R17" s="16">
        <v>285.60000000000002</v>
      </c>
      <c r="S17" s="16">
        <v>5.0999999999999996</v>
      </c>
      <c r="T17" s="16">
        <v>189.7</v>
      </c>
      <c r="U17" s="16">
        <v>130.80000000000001</v>
      </c>
      <c r="V17" s="16">
        <v>26.8</v>
      </c>
      <c r="W17" s="16">
        <v>193.9</v>
      </c>
      <c r="X17" s="16">
        <v>258.2</v>
      </c>
      <c r="Y17" s="16">
        <v>129.69999999999999</v>
      </c>
      <c r="Z17" s="16">
        <v>113.4</v>
      </c>
      <c r="AA17" s="16">
        <v>172.2</v>
      </c>
    </row>
    <row r="18" spans="1:27" x14ac:dyDescent="0.25">
      <c r="A18">
        <v>2008</v>
      </c>
      <c r="B18" s="16">
        <v>-0.9</v>
      </c>
      <c r="C18" s="16">
        <v>-1.9</v>
      </c>
      <c r="D18" s="16">
        <v>-1.8</v>
      </c>
      <c r="E18" s="16">
        <v>2</v>
      </c>
      <c r="F18" s="16">
        <v>7.8</v>
      </c>
      <c r="G18" s="16">
        <v>11.8</v>
      </c>
      <c r="H18" s="16">
        <v>13.7</v>
      </c>
      <c r="I18" s="16">
        <v>14</v>
      </c>
      <c r="J18" s="16">
        <v>7.1</v>
      </c>
      <c r="K18" s="16">
        <v>6.7</v>
      </c>
      <c r="L18" s="16">
        <v>1.3</v>
      </c>
      <c r="M18" s="16">
        <v>-3</v>
      </c>
      <c r="O18">
        <v>2008</v>
      </c>
      <c r="P18" s="16">
        <v>117.6</v>
      </c>
      <c r="Q18" s="16">
        <v>47.1</v>
      </c>
      <c r="R18" s="16">
        <v>272.5</v>
      </c>
      <c r="S18" s="16">
        <v>233.1</v>
      </c>
      <c r="T18" s="16">
        <v>115.7</v>
      </c>
      <c r="U18" s="16">
        <v>139.5</v>
      </c>
      <c r="V18" s="16">
        <v>47.6</v>
      </c>
      <c r="W18" s="16">
        <v>33.1</v>
      </c>
      <c r="X18" s="16">
        <v>49.7</v>
      </c>
      <c r="Y18" s="16">
        <v>148.6</v>
      </c>
      <c r="Z18" s="16">
        <v>332</v>
      </c>
      <c r="AA18" s="16">
        <v>373.1</v>
      </c>
    </row>
    <row r="19" spans="1:27" x14ac:dyDescent="0.25">
      <c r="A19">
        <v>2009</v>
      </c>
      <c r="B19" s="16">
        <v>-4.2</v>
      </c>
      <c r="C19" s="16">
        <v>-5.4</v>
      </c>
      <c r="D19" s="16">
        <v>-1.8</v>
      </c>
      <c r="E19" s="16">
        <v>4.5</v>
      </c>
      <c r="F19" s="16">
        <v>9.6</v>
      </c>
      <c r="G19" s="16">
        <v>10</v>
      </c>
      <c r="H19" s="16">
        <v>14</v>
      </c>
      <c r="I19" s="16">
        <v>14.5</v>
      </c>
      <c r="J19" s="16">
        <v>10.1</v>
      </c>
      <c r="K19" s="16">
        <v>3.4</v>
      </c>
      <c r="L19" s="16">
        <v>2.4</v>
      </c>
      <c r="M19" s="16">
        <v>-3.9</v>
      </c>
      <c r="O19">
        <v>2009</v>
      </c>
      <c r="P19" s="16">
        <v>185.4</v>
      </c>
      <c r="Q19" s="16">
        <v>204.1</v>
      </c>
      <c r="R19" s="16">
        <v>185.3</v>
      </c>
      <c r="S19" s="16">
        <v>154.5</v>
      </c>
      <c r="T19" s="16">
        <v>17.600000000000001</v>
      </c>
      <c r="U19" s="16">
        <v>126</v>
      </c>
      <c r="V19" s="16">
        <v>58.2</v>
      </c>
      <c r="W19" s="16">
        <v>113.6</v>
      </c>
      <c r="X19" s="16">
        <v>65.099999999999994</v>
      </c>
      <c r="Y19" s="16">
        <v>172.1</v>
      </c>
      <c r="Z19" s="16">
        <v>175.9</v>
      </c>
      <c r="AA19" s="16">
        <v>355.3</v>
      </c>
    </row>
    <row r="20" spans="1:27" x14ac:dyDescent="0.25">
      <c r="A20">
        <v>2010</v>
      </c>
      <c r="B20" s="16">
        <v>-5.8</v>
      </c>
      <c r="C20" s="16">
        <v>-4.5999999999999996</v>
      </c>
      <c r="D20" s="16">
        <v>-2.8</v>
      </c>
      <c r="E20" s="16">
        <v>2.8</v>
      </c>
      <c r="F20" s="16">
        <v>5.8</v>
      </c>
      <c r="G20" s="16">
        <v>11</v>
      </c>
      <c r="H20" s="16">
        <v>14.2</v>
      </c>
      <c r="I20" s="16">
        <v>13.2</v>
      </c>
      <c r="J20" s="16">
        <v>8</v>
      </c>
      <c r="K20" s="16">
        <v>2.4</v>
      </c>
      <c r="L20" s="16">
        <v>1.5</v>
      </c>
      <c r="M20" s="16">
        <v>-4.5</v>
      </c>
      <c r="O20">
        <v>2010</v>
      </c>
      <c r="P20" s="16">
        <v>329.4</v>
      </c>
      <c r="Q20" s="16">
        <v>278.89999999999998</v>
      </c>
      <c r="R20" s="16">
        <v>142.30000000000001</v>
      </c>
      <c r="S20" s="16">
        <v>145.80000000000001</v>
      </c>
      <c r="T20" s="16">
        <v>184.2</v>
      </c>
      <c r="U20" s="16">
        <v>229.9</v>
      </c>
      <c r="V20" s="16">
        <v>54.9</v>
      </c>
      <c r="W20" s="16">
        <v>90.3</v>
      </c>
      <c r="X20" s="16">
        <v>186.7</v>
      </c>
      <c r="Y20" s="16">
        <v>95.9</v>
      </c>
      <c r="Z20" s="16">
        <v>449.6</v>
      </c>
      <c r="AA20" s="16">
        <v>216.1</v>
      </c>
    </row>
    <row r="21" spans="1:27" x14ac:dyDescent="0.25">
      <c r="A21">
        <v>2011</v>
      </c>
      <c r="B21" s="16">
        <v>-3.4</v>
      </c>
      <c r="C21" s="16">
        <v>-2.8</v>
      </c>
      <c r="D21" s="16">
        <v>-1.6</v>
      </c>
      <c r="E21" s="16">
        <v>4.5</v>
      </c>
      <c r="F21" s="16">
        <v>7.5</v>
      </c>
      <c r="G21" s="16">
        <v>11.4</v>
      </c>
      <c r="H21" s="16">
        <v>13</v>
      </c>
      <c r="I21" s="16">
        <v>15.8</v>
      </c>
      <c r="J21" s="16">
        <v>13</v>
      </c>
      <c r="K21" s="16">
        <v>4.5</v>
      </c>
      <c r="L21" s="16">
        <v>2.7</v>
      </c>
      <c r="M21" s="16">
        <v>-2</v>
      </c>
      <c r="O21">
        <v>2011</v>
      </c>
      <c r="P21" s="16">
        <v>91.5</v>
      </c>
      <c r="Q21" s="16">
        <v>39.299999999999997</v>
      </c>
      <c r="R21" s="16">
        <v>155.6</v>
      </c>
      <c r="S21" s="16">
        <v>79.3</v>
      </c>
      <c r="T21" s="16">
        <v>85.2</v>
      </c>
      <c r="U21" s="16">
        <v>134.6</v>
      </c>
      <c r="V21" s="16">
        <v>208.9</v>
      </c>
      <c r="W21" s="16">
        <v>41.5</v>
      </c>
      <c r="X21" s="16">
        <v>92.2</v>
      </c>
      <c r="Y21" s="16">
        <v>159.9</v>
      </c>
      <c r="Z21" s="16">
        <v>26.7</v>
      </c>
      <c r="AA21" s="16">
        <v>278.3</v>
      </c>
    </row>
    <row r="22" spans="1:27" x14ac:dyDescent="0.25">
      <c r="A22">
        <v>2012</v>
      </c>
      <c r="B22" s="16">
        <v>-5.2</v>
      </c>
      <c r="C22" s="16">
        <v>-10.8</v>
      </c>
      <c r="D22" s="16">
        <v>2.2999999999999998</v>
      </c>
      <c r="E22" s="16">
        <v>2.1</v>
      </c>
      <c r="F22" s="16">
        <v>6.8</v>
      </c>
      <c r="G22" s="16">
        <v>13.7</v>
      </c>
      <c r="H22" s="16">
        <v>15.5</v>
      </c>
      <c r="I22" s="16">
        <v>16.399999999999999</v>
      </c>
      <c r="J22" s="16">
        <v>10.1</v>
      </c>
      <c r="K22" s="16">
        <v>6.7</v>
      </c>
      <c r="L22" s="16">
        <v>2.8</v>
      </c>
      <c r="M22" s="16">
        <v>-3.9</v>
      </c>
      <c r="O22">
        <v>2012</v>
      </c>
      <c r="P22" s="16">
        <v>56.8</v>
      </c>
      <c r="Q22" s="16">
        <v>115.6</v>
      </c>
      <c r="R22" s="16">
        <v>0.8</v>
      </c>
      <c r="S22" s="16">
        <v>194.6</v>
      </c>
      <c r="T22" s="16">
        <v>182.7</v>
      </c>
      <c r="U22" s="16">
        <v>50.2</v>
      </c>
      <c r="V22" s="16">
        <v>47.9</v>
      </c>
      <c r="W22" s="16">
        <v>29.1</v>
      </c>
      <c r="X22" s="16">
        <v>254</v>
      </c>
      <c r="Y22" s="16">
        <v>247.2</v>
      </c>
      <c r="Z22" s="16">
        <v>430.7</v>
      </c>
      <c r="AA22" s="16">
        <v>190</v>
      </c>
    </row>
    <row r="23" spans="1:27" x14ac:dyDescent="0.25">
      <c r="A23">
        <v>2013</v>
      </c>
      <c r="B23" s="16">
        <v>-3.2</v>
      </c>
      <c r="C23" s="16">
        <v>-6.4</v>
      </c>
      <c r="D23" s="16">
        <v>-3.1</v>
      </c>
      <c r="E23" s="16">
        <v>3.8</v>
      </c>
      <c r="F23" s="16">
        <v>5.6</v>
      </c>
      <c r="G23" s="16">
        <v>10.7</v>
      </c>
      <c r="H23" s="16">
        <v>14</v>
      </c>
      <c r="I23" s="16">
        <v>14.2</v>
      </c>
      <c r="J23" s="16">
        <v>9</v>
      </c>
      <c r="K23" s="16">
        <v>7</v>
      </c>
      <c r="L23" s="16">
        <v>0.5</v>
      </c>
      <c r="M23" s="16">
        <v>0.5</v>
      </c>
      <c r="O23">
        <v>2013</v>
      </c>
      <c r="P23" s="16">
        <v>462.9</v>
      </c>
      <c r="Q23" s="16">
        <v>285.2</v>
      </c>
      <c r="R23" s="16">
        <v>295.3</v>
      </c>
      <c r="S23" s="16">
        <v>151.80000000000001</v>
      </c>
      <c r="T23" s="16">
        <v>253.8</v>
      </c>
      <c r="U23" s="16">
        <v>87</v>
      </c>
      <c r="V23" s="16">
        <v>45.1</v>
      </c>
      <c r="W23" s="16">
        <v>96.1</v>
      </c>
      <c r="X23" s="16">
        <v>185</v>
      </c>
      <c r="Y23" s="16">
        <v>235.1</v>
      </c>
      <c r="Z23" s="16">
        <v>332.3</v>
      </c>
      <c r="AA23" s="16">
        <v>58.8</v>
      </c>
    </row>
    <row r="24" spans="1:27" x14ac:dyDescent="0.25">
      <c r="A24">
        <v>2014</v>
      </c>
      <c r="B24" s="16">
        <v>-0.8</v>
      </c>
      <c r="C24" s="16">
        <v>0</v>
      </c>
      <c r="D24" s="16">
        <v>1.2</v>
      </c>
      <c r="E24" s="16">
        <v>3.7</v>
      </c>
      <c r="F24" s="16">
        <v>6.2</v>
      </c>
      <c r="G24" s="16">
        <v>11.4</v>
      </c>
      <c r="H24" s="16">
        <v>12.6</v>
      </c>
      <c r="I24" s="16">
        <v>12</v>
      </c>
      <c r="J24" s="16">
        <v>8.3000000000000007</v>
      </c>
      <c r="K24" s="16">
        <v>6</v>
      </c>
      <c r="L24" s="16">
        <v>5.3</v>
      </c>
      <c r="M24" s="16">
        <v>-2.6</v>
      </c>
      <c r="O24">
        <v>2014</v>
      </c>
      <c r="P24" s="16">
        <v>207</v>
      </c>
      <c r="Q24" s="16">
        <v>364</v>
      </c>
      <c r="R24" s="16">
        <v>192.3</v>
      </c>
      <c r="S24" s="16">
        <v>156.80000000000001</v>
      </c>
      <c r="T24" s="16">
        <v>208</v>
      </c>
      <c r="U24" s="16">
        <v>95.8</v>
      </c>
      <c r="V24" s="16">
        <v>275.3</v>
      </c>
      <c r="W24" s="16">
        <v>197.6</v>
      </c>
      <c r="X24" s="16">
        <v>337.7</v>
      </c>
      <c r="Y24" s="16">
        <v>219.2</v>
      </c>
      <c r="Z24" s="16">
        <v>236.6</v>
      </c>
      <c r="AA24" s="16">
        <v>138.6</v>
      </c>
    </row>
    <row r="25" spans="1:27" x14ac:dyDescent="0.25">
      <c r="A25">
        <v>2015</v>
      </c>
      <c r="B25" s="16">
        <v>-2.6</v>
      </c>
      <c r="C25" s="16">
        <v>-4.8</v>
      </c>
      <c r="D25" s="16">
        <v>-1.8</v>
      </c>
      <c r="E25" s="16">
        <v>2.1</v>
      </c>
      <c r="F25" s="16">
        <v>8.1999999999999993</v>
      </c>
      <c r="G25" s="16">
        <v>11</v>
      </c>
      <c r="H25" s="16">
        <v>16.3</v>
      </c>
      <c r="I25" s="16">
        <v>14.9</v>
      </c>
      <c r="J25" s="16">
        <v>9</v>
      </c>
      <c r="K25" s="16">
        <v>4.9000000000000004</v>
      </c>
      <c r="L25" s="16">
        <v>3.9</v>
      </c>
      <c r="M25" s="16">
        <v>2.2000000000000002</v>
      </c>
      <c r="O25">
        <v>2015</v>
      </c>
      <c r="P25" s="16">
        <v>140.69999999999999</v>
      </c>
      <c r="Q25" s="16">
        <v>196.5</v>
      </c>
      <c r="R25" s="16">
        <v>91.3</v>
      </c>
      <c r="S25" s="16">
        <v>91.6</v>
      </c>
      <c r="T25" s="16">
        <v>167.4</v>
      </c>
      <c r="U25" s="16">
        <v>97.5</v>
      </c>
      <c r="V25" s="16">
        <v>94.5</v>
      </c>
      <c r="W25" s="16">
        <v>60</v>
      </c>
      <c r="X25" s="16">
        <v>213</v>
      </c>
      <c r="Y25" s="16">
        <v>452.4</v>
      </c>
      <c r="Z25" s="16">
        <v>121.6</v>
      </c>
      <c r="AA25" s="16">
        <v>2.1</v>
      </c>
    </row>
    <row r="26" spans="1:27" x14ac:dyDescent="0.25">
      <c r="A26">
        <v>2016</v>
      </c>
      <c r="B26" s="7">
        <v>-2.4</v>
      </c>
      <c r="C26" s="7">
        <v>-0.6</v>
      </c>
      <c r="D26" s="7">
        <v>-1.8</v>
      </c>
      <c r="E26" s="7">
        <v>4.8</v>
      </c>
      <c r="F26" s="7">
        <v>6.1</v>
      </c>
      <c r="G26" s="7">
        <v>11</v>
      </c>
      <c r="H26" s="7">
        <v>14.4</v>
      </c>
      <c r="I26" s="7">
        <v>12</v>
      </c>
      <c r="J26" s="7">
        <v>9.5</v>
      </c>
      <c r="K26" s="7">
        <v>3.9</v>
      </c>
      <c r="L26" s="7">
        <v>0.7</v>
      </c>
      <c r="M26" s="7">
        <v>0</v>
      </c>
      <c r="O26">
        <v>2016</v>
      </c>
      <c r="P26" s="16">
        <v>170.1</v>
      </c>
      <c r="Q26" s="16">
        <v>317.7</v>
      </c>
      <c r="R26" s="16">
        <v>203.6</v>
      </c>
      <c r="S26" s="16">
        <v>113.9</v>
      </c>
      <c r="T26" s="16">
        <v>218.8</v>
      </c>
      <c r="U26" s="16">
        <v>178.8</v>
      </c>
      <c r="V26" s="16">
        <v>64.3</v>
      </c>
      <c r="W26" s="16">
        <v>140.69999999999999</v>
      </c>
      <c r="X26" s="16">
        <v>182.9</v>
      </c>
      <c r="Y26" s="16">
        <v>180.6</v>
      </c>
      <c r="Z26" s="16">
        <v>239.5</v>
      </c>
      <c r="AA26" s="16">
        <v>5.5</v>
      </c>
    </row>
    <row r="27" spans="1:27" x14ac:dyDescent="0.25">
      <c r="A27">
        <v>2017</v>
      </c>
      <c r="B27" s="16">
        <v>-7.5</v>
      </c>
      <c r="C27" s="16">
        <v>-1.2</v>
      </c>
      <c r="D27" s="16">
        <v>1.6</v>
      </c>
      <c r="E27" s="16">
        <v>2.5</v>
      </c>
      <c r="F27" s="16">
        <v>7.4</v>
      </c>
      <c r="G27" s="16">
        <v>13.3</v>
      </c>
      <c r="H27" s="16">
        <v>14.5</v>
      </c>
      <c r="I27" s="16">
        <v>16.2</v>
      </c>
      <c r="J27" s="16">
        <v>7.4</v>
      </c>
      <c r="K27" s="16">
        <v>6.4</v>
      </c>
      <c r="L27" s="16">
        <v>-0.8</v>
      </c>
      <c r="M27" s="16">
        <v>-3.7</v>
      </c>
      <c r="O27">
        <v>2017</v>
      </c>
      <c r="P27" s="16">
        <v>130.4</v>
      </c>
      <c r="Q27" s="16">
        <v>169.7</v>
      </c>
      <c r="R27" s="16">
        <v>107.5</v>
      </c>
      <c r="S27" s="16">
        <v>216.3</v>
      </c>
      <c r="T27" s="16">
        <v>130.9</v>
      </c>
      <c r="U27" s="16">
        <v>69.2</v>
      </c>
      <c r="V27" s="16">
        <v>125.6</v>
      </c>
      <c r="W27" s="16">
        <v>36.1</v>
      </c>
      <c r="X27" s="16">
        <v>524.5</v>
      </c>
      <c r="Y27" s="16">
        <v>125.6</v>
      </c>
      <c r="Z27" s="16">
        <v>264.7</v>
      </c>
      <c r="AA27" s="16">
        <v>293.89999999999998</v>
      </c>
    </row>
    <row r="28" spans="1:27" x14ac:dyDescent="0.25">
      <c r="A28">
        <v>2018</v>
      </c>
      <c r="B28" s="16">
        <v>-1</v>
      </c>
      <c r="C28" s="16">
        <v>-8</v>
      </c>
      <c r="D28" s="16">
        <v>-2.2000000000000002</v>
      </c>
      <c r="E28" s="16">
        <v>6.6</v>
      </c>
      <c r="F28" s="16">
        <v>9.3000000000000007</v>
      </c>
      <c r="G28" s="16">
        <v>11.1</v>
      </c>
      <c r="H28" s="16">
        <v>14.3</v>
      </c>
      <c r="I28" s="16">
        <v>14.8</v>
      </c>
      <c r="J28" s="16">
        <v>10.8</v>
      </c>
      <c r="K28" s="16">
        <v>7.2</v>
      </c>
      <c r="L28" s="16">
        <v>1.8</v>
      </c>
      <c r="M28" s="16">
        <v>-2.1</v>
      </c>
      <c r="O28">
        <v>2018</v>
      </c>
      <c r="P28" s="16">
        <v>131.19999999999999</v>
      </c>
      <c r="Q28" s="16">
        <v>357.7</v>
      </c>
      <c r="R28" s="16">
        <v>232.2</v>
      </c>
      <c r="S28" s="16">
        <v>144.6</v>
      </c>
      <c r="T28" s="16">
        <v>145.4</v>
      </c>
      <c r="U28" s="16">
        <v>117.1</v>
      </c>
      <c r="V28" s="16">
        <v>41</v>
      </c>
      <c r="W28" s="16">
        <v>50.8</v>
      </c>
      <c r="X28" s="16">
        <v>62.7</v>
      </c>
      <c r="Y28" s="16">
        <v>129.69999999999999</v>
      </c>
      <c r="Z28" s="16">
        <v>140</v>
      </c>
      <c r="AA28" s="16">
        <v>141.19999999999999</v>
      </c>
    </row>
    <row r="29" spans="1:27" x14ac:dyDescent="0.25">
      <c r="A29">
        <v>2019</v>
      </c>
      <c r="B29" s="16">
        <v>-6.2</v>
      </c>
      <c r="C29" s="16">
        <v>-1.4</v>
      </c>
      <c r="D29" s="16">
        <v>0.7</v>
      </c>
      <c r="E29" s="16">
        <v>2.8</v>
      </c>
      <c r="F29" s="16">
        <v>3.6</v>
      </c>
      <c r="G29" s="16">
        <v>15.2</v>
      </c>
      <c r="H29" s="16">
        <v>14.5</v>
      </c>
      <c r="I29" s="16">
        <v>15.3</v>
      </c>
      <c r="J29" s="16">
        <v>9.6999999999999993</v>
      </c>
      <c r="K29" s="16">
        <v>7.8</v>
      </c>
      <c r="L29" s="16">
        <v>2.9</v>
      </c>
      <c r="M29" s="16">
        <v>-0.8</v>
      </c>
      <c r="O29">
        <v>2019</v>
      </c>
      <c r="P29" s="16">
        <v>140.6</v>
      </c>
      <c r="Q29" s="16">
        <v>85</v>
      </c>
      <c r="R29" s="16">
        <v>91.1</v>
      </c>
      <c r="S29" s="16">
        <v>226.6</v>
      </c>
      <c r="T29" s="16">
        <v>376</v>
      </c>
      <c r="U29" s="16">
        <v>22.8</v>
      </c>
      <c r="V29" s="16">
        <v>133.4</v>
      </c>
      <c r="W29" s="16">
        <v>33.9</v>
      </c>
      <c r="X29" s="16">
        <v>233.8</v>
      </c>
      <c r="Y29" s="16">
        <v>94.2</v>
      </c>
      <c r="Z29" s="16">
        <v>647.1</v>
      </c>
      <c r="AA29" s="16">
        <v>237.9</v>
      </c>
    </row>
    <row r="30" spans="1:27" x14ac:dyDescent="0.25">
      <c r="A30">
        <v>2020</v>
      </c>
      <c r="B30" s="16">
        <v>-0.7</v>
      </c>
      <c r="C30" s="16">
        <v>-0.7</v>
      </c>
      <c r="D30" s="16">
        <v>-1.8</v>
      </c>
      <c r="E30" s="16">
        <v>4</v>
      </c>
      <c r="F30" s="16">
        <v>6.6</v>
      </c>
      <c r="G30" s="16">
        <v>10.5</v>
      </c>
      <c r="H30" s="16">
        <v>13.5</v>
      </c>
      <c r="I30" s="16">
        <v>14.9</v>
      </c>
      <c r="J30" s="16">
        <v>10.3</v>
      </c>
      <c r="K30" s="16">
        <v>5.0999999999999996</v>
      </c>
      <c r="L30" s="16">
        <v>3.1</v>
      </c>
      <c r="M30" s="16">
        <v>-1</v>
      </c>
      <c r="O30">
        <v>2020</v>
      </c>
      <c r="P30" s="16">
        <v>28.2</v>
      </c>
      <c r="Q30" s="16">
        <v>70.599999999999994</v>
      </c>
      <c r="R30" s="16">
        <v>124.1</v>
      </c>
      <c r="S30" s="16">
        <v>54.1</v>
      </c>
      <c r="T30" s="16">
        <v>74.8</v>
      </c>
      <c r="U30" s="16">
        <v>69.7</v>
      </c>
      <c r="V30" s="16">
        <v>104.2</v>
      </c>
      <c r="W30" s="16">
        <v>96.7</v>
      </c>
      <c r="X30" s="16">
        <v>292.89999999999998</v>
      </c>
      <c r="Y30" s="16">
        <v>454.5</v>
      </c>
      <c r="Z30" s="16">
        <v>68.900000000000006</v>
      </c>
      <c r="AA30" s="16">
        <v>337.3</v>
      </c>
    </row>
    <row r="31" spans="1:27" x14ac:dyDescent="0.25">
      <c r="A31">
        <v>2021</v>
      </c>
      <c r="B31" s="16">
        <v>-4.8</v>
      </c>
      <c r="C31" s="16">
        <v>-1.1000000000000001</v>
      </c>
      <c r="D31" s="16">
        <v>-2.2000000000000002</v>
      </c>
      <c r="E31" s="16">
        <v>-0.2</v>
      </c>
      <c r="F31" s="16">
        <v>5.8</v>
      </c>
      <c r="G31" s="16">
        <v>13.9</v>
      </c>
      <c r="H31" s="16">
        <v>15.2</v>
      </c>
      <c r="I31" s="16">
        <v>13.4</v>
      </c>
      <c r="J31" s="16">
        <v>10.1</v>
      </c>
      <c r="K31" s="16">
        <v>4.3</v>
      </c>
      <c r="L31" s="16">
        <v>2.2999999999999998</v>
      </c>
      <c r="M31" s="16">
        <v>-1.5</v>
      </c>
      <c r="O31">
        <v>2021</v>
      </c>
      <c r="P31" s="16">
        <v>305.7</v>
      </c>
      <c r="Q31" s="16">
        <v>131</v>
      </c>
      <c r="R31" s="16">
        <v>65.599999999999994</v>
      </c>
      <c r="S31" s="16">
        <v>128</v>
      </c>
      <c r="T31" s="16">
        <v>127.2</v>
      </c>
      <c r="U31" s="16">
        <v>19.899999999999999</v>
      </c>
      <c r="V31" s="16">
        <v>159.4</v>
      </c>
      <c r="W31" s="16">
        <v>110.9</v>
      </c>
      <c r="X31" s="16">
        <v>133.6</v>
      </c>
      <c r="Y31" s="16">
        <v>130.30000000000001</v>
      </c>
      <c r="Z31" s="16">
        <v>233</v>
      </c>
      <c r="AA31" s="16">
        <v>231.5</v>
      </c>
    </row>
    <row r="32" spans="1:27" x14ac:dyDescent="0.25">
      <c r="A32">
        <v>2022</v>
      </c>
      <c r="B32" s="16">
        <v>-2.4</v>
      </c>
      <c r="C32" s="16">
        <v>-1.7</v>
      </c>
      <c r="D32" s="16">
        <v>-2.1</v>
      </c>
      <c r="E32" s="16">
        <v>1.6</v>
      </c>
      <c r="F32" s="16">
        <v>10.3</v>
      </c>
      <c r="G32" s="16">
        <v>14.6</v>
      </c>
      <c r="H32" s="16">
        <v>15.5</v>
      </c>
      <c r="I32" s="16">
        <v>14.3</v>
      </c>
      <c r="J32" s="16">
        <v>9</v>
      </c>
      <c r="K32" s="16">
        <v>10</v>
      </c>
      <c r="L32" s="16">
        <v>1.9</v>
      </c>
      <c r="M32" s="16">
        <v>0.7</v>
      </c>
      <c r="O32">
        <v>2022</v>
      </c>
      <c r="P32" s="16">
        <v>75</v>
      </c>
      <c r="Q32" s="16">
        <v>137.69999999999999</v>
      </c>
      <c r="R32" s="16">
        <v>31.9</v>
      </c>
      <c r="S32" s="16">
        <v>225</v>
      </c>
      <c r="T32" s="16">
        <v>102.7</v>
      </c>
      <c r="U32" s="16">
        <v>46</v>
      </c>
      <c r="V32" s="16">
        <v>25.8</v>
      </c>
      <c r="W32" s="16">
        <v>20.2</v>
      </c>
      <c r="X32" s="16">
        <v>241.4</v>
      </c>
      <c r="Y32" s="16">
        <v>93.7</v>
      </c>
      <c r="Z32" s="16">
        <v>256.2</v>
      </c>
      <c r="AA32" s="16">
        <v>327.5</v>
      </c>
    </row>
    <row r="33" spans="1:27" x14ac:dyDescent="0.25">
      <c r="A33">
        <v>2023</v>
      </c>
      <c r="B33">
        <v>-2.6</v>
      </c>
      <c r="C33">
        <v>-3.2</v>
      </c>
      <c r="D33">
        <v>0.5</v>
      </c>
      <c r="E33">
        <v>0.8</v>
      </c>
      <c r="F33">
        <v>6.9</v>
      </c>
      <c r="G33">
        <v>11.9</v>
      </c>
      <c r="H33">
        <v>15.7</v>
      </c>
      <c r="I33">
        <v>14.6</v>
      </c>
      <c r="J33">
        <v>11.8</v>
      </c>
      <c r="K33">
        <v>9.8000000000000007</v>
      </c>
      <c r="L33">
        <v>1.9</v>
      </c>
      <c r="M33">
        <v>0.7</v>
      </c>
      <c r="O33">
        <v>2023</v>
      </c>
      <c r="P33">
        <v>273.89999999999998</v>
      </c>
      <c r="Q33">
        <v>131.30000000000001</v>
      </c>
      <c r="R33">
        <v>155.4</v>
      </c>
      <c r="S33">
        <v>200.2</v>
      </c>
      <c r="T33">
        <v>261.60000000000002</v>
      </c>
      <c r="U33">
        <v>91</v>
      </c>
      <c r="V33">
        <v>124.8</v>
      </c>
      <c r="W33">
        <v>190.3</v>
      </c>
      <c r="X33">
        <v>42.3</v>
      </c>
      <c r="Y33">
        <v>181.7</v>
      </c>
      <c r="Z33">
        <v>406.4</v>
      </c>
      <c r="AA33">
        <v>116</v>
      </c>
    </row>
    <row r="34" spans="1:27" x14ac:dyDescent="0.25">
      <c r="A34">
        <v>2024</v>
      </c>
      <c r="B34">
        <v>-1.3</v>
      </c>
      <c r="C34">
        <v>2.2000000000000002</v>
      </c>
      <c r="D34">
        <v>2.2999999999999998</v>
      </c>
      <c r="E34">
        <v>4.9000000000000004</v>
      </c>
      <c r="F34">
        <v>8.1</v>
      </c>
      <c r="G34">
        <v>13.4</v>
      </c>
      <c r="H34">
        <v>16.399999999999999</v>
      </c>
      <c r="I34">
        <v>17.600000000000001</v>
      </c>
      <c r="J34">
        <v>9.6</v>
      </c>
      <c r="K34">
        <v>8.5</v>
      </c>
      <c r="L34">
        <v>1.8</v>
      </c>
      <c r="M34">
        <v>-2.1</v>
      </c>
      <c r="O34">
        <v>2024</v>
      </c>
      <c r="P34">
        <v>168.8</v>
      </c>
      <c r="Q34">
        <v>100.8</v>
      </c>
      <c r="R34">
        <v>219.4</v>
      </c>
      <c r="S34">
        <v>118.4</v>
      </c>
      <c r="T34">
        <v>181.8</v>
      </c>
      <c r="U34">
        <v>138.6</v>
      </c>
      <c r="V34">
        <v>123.5</v>
      </c>
      <c r="W34">
        <v>50.5</v>
      </c>
      <c r="X34">
        <v>414.6</v>
      </c>
      <c r="Y34">
        <v>154.30000000000001</v>
      </c>
      <c r="Z34">
        <v>217.1</v>
      </c>
      <c r="AA34">
        <v>206.6</v>
      </c>
    </row>
    <row r="35" spans="1:27" x14ac:dyDescent="0.25">
      <c r="A35">
        <v>2025</v>
      </c>
      <c r="O35">
        <v>2025</v>
      </c>
    </row>
    <row r="36" spans="1:27" x14ac:dyDescent="0.25">
      <c r="A36">
        <v>2026</v>
      </c>
      <c r="O36">
        <v>2026</v>
      </c>
    </row>
    <row r="37" spans="1:27" x14ac:dyDescent="0.25">
      <c r="A37">
        <v>2027</v>
      </c>
      <c r="O37">
        <v>2027</v>
      </c>
    </row>
    <row r="38" spans="1:27" x14ac:dyDescent="0.25">
      <c r="A38">
        <v>2028</v>
      </c>
      <c r="O38">
        <v>2028</v>
      </c>
    </row>
    <row r="39" spans="1:27" x14ac:dyDescent="0.25">
      <c r="A39">
        <v>2029</v>
      </c>
      <c r="O39">
        <v>2029</v>
      </c>
    </row>
    <row r="40" spans="1:27" x14ac:dyDescent="0.25">
      <c r="A40">
        <v>2030</v>
      </c>
      <c r="O40">
        <v>2030</v>
      </c>
    </row>
    <row r="58" spans="2:14" x14ac:dyDescent="0.25">
      <c r="N58" s="16"/>
    </row>
    <row r="59" spans="2:14" x14ac:dyDescent="0.25">
      <c r="N59" s="16"/>
    </row>
    <row r="60" spans="2:14" x14ac:dyDescent="0.25">
      <c r="N60" s="16"/>
    </row>
    <row r="61" spans="2:14" x14ac:dyDescent="0.25">
      <c r="N61" s="16"/>
    </row>
    <row r="62" spans="2:14" x14ac:dyDescent="0.25">
      <c r="N62" s="16"/>
    </row>
    <row r="63" spans="2:14" x14ac:dyDescent="0.25">
      <c r="N63" s="16"/>
    </row>
    <row r="64" spans="2:14" x14ac:dyDescent="0.25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5D26-1B04-4CDA-AF5F-265437776FD2}">
  <dimension ref="A1:AD19"/>
  <sheetViews>
    <sheetView workbookViewId="0">
      <selection activeCell="F22" sqref="F22"/>
    </sheetView>
  </sheetViews>
  <sheetFormatPr defaultRowHeight="15" x14ac:dyDescent="0.25"/>
  <sheetData>
    <row r="1" spans="1:30" x14ac:dyDescent="0.25">
      <c r="A1" t="s">
        <v>62</v>
      </c>
    </row>
    <row r="2" spans="1:30" x14ac:dyDescent="0.25">
      <c r="B2" t="s">
        <v>0</v>
      </c>
      <c r="C2" t="s">
        <v>30</v>
      </c>
      <c r="D2" t="s">
        <v>28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55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58</v>
      </c>
      <c r="X2" t="s">
        <v>48</v>
      </c>
      <c r="Y2" t="s">
        <v>49</v>
      </c>
      <c r="Z2" t="s">
        <v>50</v>
      </c>
      <c r="AA2" t="s">
        <v>29</v>
      </c>
      <c r="AB2" t="s">
        <v>56</v>
      </c>
      <c r="AC2" t="s">
        <v>57</v>
      </c>
      <c r="AD2" t="s">
        <v>51</v>
      </c>
    </row>
    <row r="3" spans="1:30" x14ac:dyDescent="0.25">
      <c r="A3">
        <v>2004</v>
      </c>
      <c r="B3">
        <v>18</v>
      </c>
      <c r="C3">
        <v>29</v>
      </c>
      <c r="D3">
        <v>0</v>
      </c>
      <c r="E3">
        <v>61</v>
      </c>
      <c r="F3">
        <v>0</v>
      </c>
      <c r="G3">
        <v>44</v>
      </c>
      <c r="H3">
        <v>7</v>
      </c>
      <c r="I3">
        <v>0</v>
      </c>
      <c r="J3">
        <v>0</v>
      </c>
      <c r="K3">
        <v>1</v>
      </c>
      <c r="L3">
        <v>59</v>
      </c>
      <c r="M3">
        <v>12</v>
      </c>
      <c r="N3">
        <v>115</v>
      </c>
      <c r="O3">
        <v>6</v>
      </c>
      <c r="P3">
        <v>0</v>
      </c>
      <c r="Q3">
        <v>0</v>
      </c>
      <c r="R3">
        <v>95</v>
      </c>
      <c r="S3">
        <v>0</v>
      </c>
      <c r="T3">
        <v>0</v>
      </c>
      <c r="U3">
        <v>6</v>
      </c>
      <c r="V3">
        <v>33</v>
      </c>
      <c r="W3">
        <v>14</v>
      </c>
      <c r="X3">
        <v>0</v>
      </c>
      <c r="Y3">
        <v>0</v>
      </c>
      <c r="Z3">
        <v>25</v>
      </c>
      <c r="AA3">
        <v>1</v>
      </c>
      <c r="AB3">
        <v>16</v>
      </c>
      <c r="AC3">
        <v>17</v>
      </c>
      <c r="AD3">
        <v>181</v>
      </c>
    </row>
    <row r="4" spans="1:30" x14ac:dyDescent="0.25">
      <c r="A4">
        <v>2005</v>
      </c>
      <c r="B4">
        <v>63</v>
      </c>
      <c r="C4">
        <v>64</v>
      </c>
      <c r="D4">
        <v>0</v>
      </c>
      <c r="E4">
        <v>82</v>
      </c>
      <c r="F4">
        <v>0</v>
      </c>
      <c r="G4">
        <v>67</v>
      </c>
      <c r="H4">
        <v>9</v>
      </c>
      <c r="I4">
        <v>0</v>
      </c>
      <c r="J4">
        <v>1</v>
      </c>
      <c r="K4">
        <v>1</v>
      </c>
      <c r="L4">
        <v>74</v>
      </c>
      <c r="M4">
        <v>54</v>
      </c>
      <c r="N4">
        <v>115</v>
      </c>
      <c r="O4">
        <v>19</v>
      </c>
      <c r="P4">
        <v>8</v>
      </c>
      <c r="Q4">
        <v>1</v>
      </c>
      <c r="R4">
        <v>129</v>
      </c>
      <c r="S4">
        <v>0</v>
      </c>
      <c r="T4">
        <v>2</v>
      </c>
      <c r="U4">
        <v>12</v>
      </c>
      <c r="V4">
        <v>63</v>
      </c>
      <c r="W4">
        <v>52</v>
      </c>
      <c r="X4">
        <v>2</v>
      </c>
      <c r="Y4">
        <v>2</v>
      </c>
      <c r="Z4">
        <v>61</v>
      </c>
      <c r="AA4">
        <v>1</v>
      </c>
      <c r="AB4">
        <v>52</v>
      </c>
      <c r="AC4">
        <v>56</v>
      </c>
      <c r="AD4">
        <v>161</v>
      </c>
    </row>
    <row r="5" spans="1:30" x14ac:dyDescent="0.25">
      <c r="A5">
        <v>2006</v>
      </c>
      <c r="B5">
        <v>10</v>
      </c>
      <c r="C5">
        <v>20</v>
      </c>
      <c r="D5">
        <v>0</v>
      </c>
      <c r="E5">
        <v>71</v>
      </c>
      <c r="F5">
        <v>0</v>
      </c>
      <c r="G5">
        <v>55</v>
      </c>
      <c r="H5">
        <v>5</v>
      </c>
      <c r="I5">
        <v>0</v>
      </c>
      <c r="J5">
        <v>0</v>
      </c>
      <c r="K5">
        <v>0</v>
      </c>
      <c r="L5">
        <v>72</v>
      </c>
      <c r="M5">
        <v>7</v>
      </c>
      <c r="N5">
        <v>100</v>
      </c>
      <c r="O5">
        <v>5</v>
      </c>
      <c r="P5">
        <v>0</v>
      </c>
      <c r="Q5">
        <v>0</v>
      </c>
      <c r="R5">
        <v>111</v>
      </c>
      <c r="S5">
        <v>0</v>
      </c>
      <c r="T5">
        <v>0</v>
      </c>
      <c r="U5">
        <v>4</v>
      </c>
      <c r="V5">
        <v>28</v>
      </c>
      <c r="W5">
        <v>15</v>
      </c>
      <c r="X5">
        <v>0</v>
      </c>
      <c r="Y5">
        <v>0</v>
      </c>
      <c r="Z5">
        <v>59</v>
      </c>
      <c r="AA5">
        <v>0</v>
      </c>
      <c r="AB5">
        <v>11</v>
      </c>
      <c r="AC5">
        <v>15</v>
      </c>
      <c r="AD5">
        <v>161</v>
      </c>
    </row>
    <row r="6" spans="1:30" x14ac:dyDescent="0.25">
      <c r="A6">
        <v>2007</v>
      </c>
      <c r="B6">
        <v>21</v>
      </c>
      <c r="C6">
        <v>28</v>
      </c>
      <c r="D6">
        <v>0</v>
      </c>
      <c r="E6">
        <v>39</v>
      </c>
      <c r="F6">
        <v>0</v>
      </c>
      <c r="G6">
        <v>31</v>
      </c>
      <c r="H6">
        <v>2</v>
      </c>
      <c r="I6">
        <v>0</v>
      </c>
      <c r="J6">
        <v>0</v>
      </c>
      <c r="K6">
        <v>0</v>
      </c>
      <c r="L6">
        <v>36</v>
      </c>
      <c r="M6">
        <v>18</v>
      </c>
      <c r="N6">
        <v>64</v>
      </c>
      <c r="O6">
        <v>1</v>
      </c>
      <c r="P6">
        <v>0</v>
      </c>
      <c r="Q6">
        <v>0</v>
      </c>
      <c r="R6">
        <v>87</v>
      </c>
      <c r="S6">
        <v>0</v>
      </c>
      <c r="T6">
        <v>0</v>
      </c>
      <c r="U6">
        <v>2</v>
      </c>
      <c r="V6">
        <v>25</v>
      </c>
      <c r="W6">
        <v>28</v>
      </c>
      <c r="X6">
        <v>0</v>
      </c>
      <c r="Y6">
        <v>0</v>
      </c>
      <c r="Z6">
        <v>28</v>
      </c>
      <c r="AA6">
        <v>0</v>
      </c>
      <c r="AB6">
        <v>21</v>
      </c>
      <c r="AC6">
        <v>21</v>
      </c>
      <c r="AD6">
        <v>142</v>
      </c>
    </row>
    <row r="7" spans="1:30" x14ac:dyDescent="0.25">
      <c r="A7">
        <v>2008</v>
      </c>
      <c r="B7">
        <v>12</v>
      </c>
      <c r="C7">
        <v>11</v>
      </c>
      <c r="D7">
        <v>0</v>
      </c>
      <c r="E7">
        <v>30</v>
      </c>
      <c r="F7">
        <v>0</v>
      </c>
      <c r="G7">
        <v>9</v>
      </c>
      <c r="H7">
        <v>1</v>
      </c>
      <c r="I7">
        <v>0</v>
      </c>
      <c r="J7">
        <v>0</v>
      </c>
      <c r="K7">
        <v>0</v>
      </c>
      <c r="L7">
        <v>32</v>
      </c>
      <c r="M7">
        <v>12</v>
      </c>
      <c r="N7">
        <v>63</v>
      </c>
      <c r="O7">
        <v>1</v>
      </c>
      <c r="P7">
        <v>0</v>
      </c>
      <c r="Q7">
        <v>0</v>
      </c>
      <c r="R7">
        <v>71</v>
      </c>
      <c r="S7">
        <v>0</v>
      </c>
      <c r="T7">
        <v>0</v>
      </c>
      <c r="U7">
        <v>0</v>
      </c>
      <c r="V7">
        <v>9</v>
      </c>
      <c r="W7">
        <v>12</v>
      </c>
      <c r="X7">
        <v>0</v>
      </c>
      <c r="Y7">
        <v>0</v>
      </c>
      <c r="Z7">
        <v>9</v>
      </c>
      <c r="AA7">
        <v>0</v>
      </c>
      <c r="AB7">
        <v>11</v>
      </c>
      <c r="AC7">
        <v>10</v>
      </c>
      <c r="AD7">
        <v>153</v>
      </c>
    </row>
    <row r="8" spans="1:30" x14ac:dyDescent="0.25">
      <c r="A8">
        <v>2009</v>
      </c>
      <c r="B8">
        <v>34</v>
      </c>
      <c r="C8">
        <v>35</v>
      </c>
      <c r="D8">
        <v>1</v>
      </c>
      <c r="E8">
        <v>52</v>
      </c>
      <c r="F8">
        <v>0</v>
      </c>
      <c r="G8">
        <v>39</v>
      </c>
      <c r="H8">
        <v>13</v>
      </c>
      <c r="I8">
        <v>0</v>
      </c>
      <c r="J8">
        <v>1</v>
      </c>
      <c r="K8">
        <v>0</v>
      </c>
      <c r="L8">
        <v>53</v>
      </c>
      <c r="M8">
        <v>20</v>
      </c>
      <c r="N8">
        <v>75</v>
      </c>
      <c r="O8">
        <v>6</v>
      </c>
      <c r="P8">
        <v>3</v>
      </c>
      <c r="Q8">
        <v>4</v>
      </c>
      <c r="R8">
        <v>98</v>
      </c>
      <c r="S8">
        <v>1</v>
      </c>
      <c r="T8">
        <v>3</v>
      </c>
      <c r="U8">
        <v>7</v>
      </c>
      <c r="V8">
        <v>36</v>
      </c>
      <c r="W8">
        <v>38</v>
      </c>
      <c r="X8">
        <v>1</v>
      </c>
      <c r="Y8">
        <v>4</v>
      </c>
      <c r="Z8">
        <v>26</v>
      </c>
      <c r="AA8">
        <v>4</v>
      </c>
      <c r="AB8">
        <v>29</v>
      </c>
      <c r="AC8">
        <v>29</v>
      </c>
      <c r="AD8">
        <v>164</v>
      </c>
    </row>
    <row r="9" spans="1:30" x14ac:dyDescent="0.25">
      <c r="A9">
        <v>2010</v>
      </c>
      <c r="B9">
        <v>58</v>
      </c>
      <c r="C9">
        <v>48</v>
      </c>
      <c r="D9">
        <v>0</v>
      </c>
      <c r="E9">
        <v>76</v>
      </c>
      <c r="F9">
        <v>0</v>
      </c>
      <c r="G9">
        <v>91</v>
      </c>
      <c r="H9">
        <v>8</v>
      </c>
      <c r="I9">
        <v>0</v>
      </c>
      <c r="J9">
        <v>0</v>
      </c>
      <c r="K9">
        <v>1</v>
      </c>
      <c r="L9">
        <v>100</v>
      </c>
      <c r="M9">
        <v>43</v>
      </c>
      <c r="N9">
        <v>117</v>
      </c>
      <c r="O9">
        <v>8</v>
      </c>
      <c r="P9">
        <v>0</v>
      </c>
      <c r="Q9">
        <v>2</v>
      </c>
      <c r="R9">
        <v>116</v>
      </c>
      <c r="S9">
        <v>0</v>
      </c>
      <c r="T9">
        <v>5</v>
      </c>
      <c r="U9">
        <v>8</v>
      </c>
      <c r="V9">
        <v>56</v>
      </c>
      <c r="W9">
        <v>47</v>
      </c>
      <c r="X9">
        <v>0</v>
      </c>
      <c r="Y9">
        <v>1</v>
      </c>
      <c r="Z9">
        <v>78</v>
      </c>
      <c r="AA9">
        <v>0</v>
      </c>
      <c r="AB9">
        <v>41</v>
      </c>
      <c r="AC9">
        <v>49</v>
      </c>
      <c r="AD9">
        <v>167</v>
      </c>
    </row>
    <row r="10" spans="1:30" x14ac:dyDescent="0.25">
      <c r="A10">
        <v>2011</v>
      </c>
      <c r="B10">
        <v>16</v>
      </c>
      <c r="C10">
        <v>20</v>
      </c>
      <c r="D10">
        <v>0</v>
      </c>
      <c r="E10">
        <v>51</v>
      </c>
      <c r="F10">
        <v>0</v>
      </c>
      <c r="G10">
        <v>19</v>
      </c>
      <c r="H10">
        <v>3</v>
      </c>
      <c r="I10">
        <v>0</v>
      </c>
      <c r="J10">
        <v>0</v>
      </c>
      <c r="K10">
        <v>0</v>
      </c>
      <c r="L10">
        <v>59</v>
      </c>
      <c r="M10">
        <v>24</v>
      </c>
      <c r="N10">
        <v>75</v>
      </c>
      <c r="O10">
        <v>0</v>
      </c>
      <c r="P10">
        <v>1</v>
      </c>
      <c r="Q10">
        <v>0</v>
      </c>
      <c r="R10">
        <v>69</v>
      </c>
      <c r="S10">
        <v>0</v>
      </c>
      <c r="T10">
        <v>0</v>
      </c>
      <c r="U10">
        <v>3</v>
      </c>
      <c r="V10">
        <v>20</v>
      </c>
      <c r="W10">
        <v>25</v>
      </c>
      <c r="X10">
        <v>0</v>
      </c>
      <c r="Y10">
        <v>0</v>
      </c>
      <c r="Z10">
        <v>10</v>
      </c>
      <c r="AA10">
        <v>0</v>
      </c>
      <c r="AB10">
        <v>8</v>
      </c>
      <c r="AC10">
        <v>9</v>
      </c>
      <c r="AD10">
        <v>111</v>
      </c>
    </row>
    <row r="11" spans="1:30" x14ac:dyDescent="0.25">
      <c r="A11">
        <v>2012</v>
      </c>
      <c r="B11">
        <v>34</v>
      </c>
      <c r="C11">
        <v>34</v>
      </c>
      <c r="D11">
        <v>1</v>
      </c>
      <c r="E11">
        <v>60</v>
      </c>
      <c r="F11">
        <v>0</v>
      </c>
      <c r="G11">
        <v>36</v>
      </c>
      <c r="H11">
        <v>21</v>
      </c>
      <c r="I11">
        <v>0</v>
      </c>
      <c r="J11">
        <v>0</v>
      </c>
      <c r="K11">
        <v>7</v>
      </c>
      <c r="L11">
        <v>55</v>
      </c>
      <c r="M11">
        <v>38</v>
      </c>
      <c r="N11">
        <v>74</v>
      </c>
      <c r="O11">
        <v>8</v>
      </c>
      <c r="P11">
        <v>19</v>
      </c>
      <c r="R11">
        <v>86</v>
      </c>
      <c r="S11">
        <v>2</v>
      </c>
      <c r="T11">
        <v>2</v>
      </c>
      <c r="U11">
        <v>10</v>
      </c>
      <c r="V11">
        <v>37</v>
      </c>
      <c r="W11">
        <v>32</v>
      </c>
      <c r="X11">
        <v>16</v>
      </c>
      <c r="Y11">
        <v>17</v>
      </c>
      <c r="Z11">
        <v>27</v>
      </c>
      <c r="AA11">
        <v>6</v>
      </c>
      <c r="AB11">
        <v>27</v>
      </c>
      <c r="AC11">
        <v>31</v>
      </c>
      <c r="AD11">
        <v>148</v>
      </c>
    </row>
    <row r="12" spans="1:30" x14ac:dyDescent="0.25">
      <c r="A12">
        <v>2013</v>
      </c>
      <c r="B12">
        <v>37</v>
      </c>
      <c r="C12">
        <v>34</v>
      </c>
      <c r="D12">
        <v>0</v>
      </c>
      <c r="E12">
        <v>67</v>
      </c>
      <c r="F12">
        <v>0</v>
      </c>
      <c r="G12">
        <v>63</v>
      </c>
      <c r="H12">
        <v>0</v>
      </c>
      <c r="I12">
        <v>0</v>
      </c>
      <c r="J12">
        <v>0</v>
      </c>
      <c r="K12">
        <v>0</v>
      </c>
      <c r="L12">
        <v>79</v>
      </c>
      <c r="M12">
        <v>19</v>
      </c>
      <c r="N12">
        <v>101</v>
      </c>
      <c r="O12">
        <v>8</v>
      </c>
      <c r="P12">
        <v>0</v>
      </c>
      <c r="R12">
        <v>98</v>
      </c>
      <c r="S12">
        <v>0</v>
      </c>
      <c r="T12">
        <v>2</v>
      </c>
      <c r="U12">
        <v>4</v>
      </c>
      <c r="V12">
        <v>47</v>
      </c>
      <c r="W12">
        <v>24</v>
      </c>
      <c r="X12">
        <v>0</v>
      </c>
      <c r="Y12">
        <v>0</v>
      </c>
      <c r="Z12">
        <v>63</v>
      </c>
      <c r="AA12">
        <v>0</v>
      </c>
      <c r="AB12">
        <v>33</v>
      </c>
      <c r="AC12">
        <v>38</v>
      </c>
      <c r="AD12">
        <v>183</v>
      </c>
    </row>
    <row r="13" spans="1:30" x14ac:dyDescent="0.25">
      <c r="A13">
        <v>2014</v>
      </c>
      <c r="B13">
        <v>18</v>
      </c>
      <c r="C13">
        <v>14</v>
      </c>
      <c r="D13">
        <v>0</v>
      </c>
      <c r="E13">
        <v>11</v>
      </c>
      <c r="F13">
        <v>0</v>
      </c>
      <c r="G13">
        <v>19</v>
      </c>
      <c r="H13">
        <v>1</v>
      </c>
      <c r="I13">
        <v>0</v>
      </c>
      <c r="J13">
        <v>0</v>
      </c>
      <c r="K13">
        <v>0</v>
      </c>
      <c r="L13">
        <v>21</v>
      </c>
      <c r="M13">
        <v>17</v>
      </c>
      <c r="N13">
        <v>35</v>
      </c>
      <c r="O13">
        <v>4</v>
      </c>
      <c r="P13">
        <v>0</v>
      </c>
      <c r="Q13">
        <v>0</v>
      </c>
      <c r="R13">
        <v>44</v>
      </c>
      <c r="S13">
        <v>0</v>
      </c>
      <c r="T13">
        <v>1</v>
      </c>
      <c r="U13">
        <v>1</v>
      </c>
      <c r="V13">
        <v>17</v>
      </c>
      <c r="W13">
        <v>13</v>
      </c>
      <c r="X13">
        <v>0</v>
      </c>
      <c r="Y13">
        <v>1</v>
      </c>
      <c r="Z13">
        <v>18</v>
      </c>
      <c r="AA13">
        <v>0</v>
      </c>
      <c r="AB13">
        <v>15</v>
      </c>
      <c r="AC13">
        <v>17</v>
      </c>
      <c r="AD13">
        <v>125</v>
      </c>
    </row>
    <row r="14" spans="1:30" x14ac:dyDescent="0.25">
      <c r="A14">
        <v>2015</v>
      </c>
      <c r="B14">
        <v>24</v>
      </c>
      <c r="C14">
        <v>25</v>
      </c>
      <c r="D14">
        <v>0</v>
      </c>
      <c r="E14">
        <v>58</v>
      </c>
      <c r="F14">
        <v>0</v>
      </c>
      <c r="G14">
        <v>36</v>
      </c>
      <c r="H14">
        <v>0</v>
      </c>
      <c r="I14">
        <v>0</v>
      </c>
      <c r="J14">
        <v>0</v>
      </c>
      <c r="K14">
        <v>0</v>
      </c>
      <c r="L14">
        <v>49</v>
      </c>
      <c r="M14">
        <v>17</v>
      </c>
      <c r="N14">
        <v>80</v>
      </c>
      <c r="O14">
        <v>7</v>
      </c>
      <c r="P14">
        <v>0</v>
      </c>
      <c r="Q14">
        <v>0</v>
      </c>
      <c r="R14">
        <v>90</v>
      </c>
      <c r="S14">
        <v>0</v>
      </c>
      <c r="T14">
        <v>0</v>
      </c>
      <c r="U14">
        <v>3</v>
      </c>
      <c r="V14">
        <v>27</v>
      </c>
      <c r="W14">
        <v>11</v>
      </c>
      <c r="X14">
        <v>0</v>
      </c>
      <c r="Y14">
        <v>0</v>
      </c>
      <c r="Z14">
        <v>24</v>
      </c>
      <c r="AA14">
        <v>0</v>
      </c>
      <c r="AB14">
        <v>12</v>
      </c>
      <c r="AC14">
        <v>16</v>
      </c>
      <c r="AD14">
        <v>149</v>
      </c>
    </row>
    <row r="15" spans="1:30" x14ac:dyDescent="0.25">
      <c r="A15">
        <v>2016</v>
      </c>
      <c r="B15">
        <v>10</v>
      </c>
      <c r="C15">
        <v>12</v>
      </c>
      <c r="D15">
        <v>0</v>
      </c>
      <c r="E15">
        <v>17</v>
      </c>
      <c r="F15">
        <v>0</v>
      </c>
      <c r="G15">
        <v>10</v>
      </c>
      <c r="H15">
        <v>1</v>
      </c>
      <c r="I15">
        <v>0</v>
      </c>
      <c r="J15">
        <v>0</v>
      </c>
      <c r="K15">
        <v>0</v>
      </c>
      <c r="L15">
        <v>14</v>
      </c>
      <c r="M15">
        <v>9</v>
      </c>
      <c r="N15">
        <v>72</v>
      </c>
      <c r="O15">
        <v>0</v>
      </c>
      <c r="P15">
        <v>0</v>
      </c>
      <c r="Q15">
        <v>0</v>
      </c>
      <c r="R15">
        <v>68</v>
      </c>
      <c r="S15">
        <v>0</v>
      </c>
      <c r="T15">
        <v>0</v>
      </c>
      <c r="U15">
        <v>2</v>
      </c>
      <c r="V15">
        <v>14</v>
      </c>
      <c r="W15">
        <v>9</v>
      </c>
      <c r="X15">
        <v>0</v>
      </c>
      <c r="Y15">
        <v>0</v>
      </c>
      <c r="Z15">
        <v>10</v>
      </c>
      <c r="AA15">
        <v>0</v>
      </c>
      <c r="AB15">
        <v>8</v>
      </c>
      <c r="AC15">
        <v>9</v>
      </c>
      <c r="AD15">
        <v>117</v>
      </c>
    </row>
    <row r="16" spans="1:30" x14ac:dyDescent="0.25">
      <c r="A16">
        <v>2017</v>
      </c>
      <c r="B16">
        <v>27</v>
      </c>
      <c r="C16">
        <v>42</v>
      </c>
      <c r="D16">
        <v>2</v>
      </c>
      <c r="E16">
        <v>62</v>
      </c>
      <c r="F16">
        <v>0</v>
      </c>
      <c r="G16">
        <v>36</v>
      </c>
      <c r="H16">
        <v>5</v>
      </c>
      <c r="I16">
        <v>0</v>
      </c>
      <c r="J16">
        <v>0</v>
      </c>
      <c r="K16">
        <v>0</v>
      </c>
      <c r="L16">
        <v>47</v>
      </c>
      <c r="M16">
        <v>33</v>
      </c>
      <c r="N16">
        <v>91</v>
      </c>
      <c r="O16">
        <v>7</v>
      </c>
      <c r="P16">
        <v>1</v>
      </c>
      <c r="Q16">
        <v>0</v>
      </c>
      <c r="R16">
        <v>100</v>
      </c>
      <c r="S16">
        <v>0</v>
      </c>
      <c r="T16">
        <v>0</v>
      </c>
      <c r="U16">
        <v>3</v>
      </c>
      <c r="V16">
        <v>36</v>
      </c>
      <c r="W16">
        <v>35</v>
      </c>
      <c r="X16">
        <v>0</v>
      </c>
      <c r="Y16">
        <v>0</v>
      </c>
      <c r="Z16">
        <v>28</v>
      </c>
      <c r="AA16">
        <v>0</v>
      </c>
      <c r="AB16">
        <v>27</v>
      </c>
      <c r="AC16">
        <v>28</v>
      </c>
      <c r="AD16">
        <v>157</v>
      </c>
    </row>
    <row r="17" spans="1:30" s="26" customFormat="1" x14ac:dyDescent="0.25">
      <c r="A17" s="26" t="s">
        <v>60</v>
      </c>
      <c r="B17" s="27">
        <f>AVERAGE(B3:B16)</f>
        <v>27.285714285714285</v>
      </c>
      <c r="C17" s="27">
        <f t="shared" ref="C17:AD17" si="0">AVERAGE(C3:C16)</f>
        <v>29.714285714285715</v>
      </c>
      <c r="D17" s="27">
        <f t="shared" si="0"/>
        <v>0.2857142857142857</v>
      </c>
      <c r="E17" s="27">
        <f t="shared" si="0"/>
        <v>52.642857142857146</v>
      </c>
      <c r="F17" s="27">
        <f t="shared" si="0"/>
        <v>0</v>
      </c>
      <c r="G17" s="27">
        <f t="shared" si="0"/>
        <v>39.642857142857146</v>
      </c>
      <c r="H17" s="27">
        <f t="shared" si="0"/>
        <v>5.4285714285714288</v>
      </c>
      <c r="I17" s="27">
        <f t="shared" si="0"/>
        <v>0</v>
      </c>
      <c r="J17" s="27">
        <f t="shared" si="0"/>
        <v>0.14285714285714285</v>
      </c>
      <c r="K17" s="27">
        <f t="shared" si="0"/>
        <v>0.7142857142857143</v>
      </c>
      <c r="L17" s="27">
        <f t="shared" si="0"/>
        <v>53.571428571428569</v>
      </c>
      <c r="M17" s="27">
        <f t="shared" si="0"/>
        <v>23.071428571428573</v>
      </c>
      <c r="N17" s="27">
        <f t="shared" si="0"/>
        <v>84.071428571428569</v>
      </c>
      <c r="O17" s="27">
        <f t="shared" si="0"/>
        <v>5.7142857142857144</v>
      </c>
      <c r="P17" s="27">
        <f t="shared" si="0"/>
        <v>2.2857142857142856</v>
      </c>
      <c r="Q17" s="27">
        <f t="shared" si="0"/>
        <v>0.58333333333333337</v>
      </c>
      <c r="R17" s="27">
        <f t="shared" si="0"/>
        <v>90.142857142857139</v>
      </c>
      <c r="S17" s="27">
        <f t="shared" si="0"/>
        <v>0.21428571428571427</v>
      </c>
      <c r="T17" s="27">
        <f t="shared" si="0"/>
        <v>1.0714285714285714</v>
      </c>
      <c r="U17" s="27">
        <f t="shared" si="0"/>
        <v>4.6428571428571432</v>
      </c>
      <c r="V17" s="27">
        <f t="shared" si="0"/>
        <v>32</v>
      </c>
      <c r="W17" s="27">
        <f t="shared" si="0"/>
        <v>25.357142857142858</v>
      </c>
      <c r="X17" s="27">
        <f t="shared" si="0"/>
        <v>1.3571428571428572</v>
      </c>
      <c r="Y17" s="27">
        <f t="shared" si="0"/>
        <v>1.7857142857142858</v>
      </c>
      <c r="Z17" s="27">
        <f t="shared" si="0"/>
        <v>33.285714285714285</v>
      </c>
      <c r="AA17" s="27">
        <f t="shared" si="0"/>
        <v>0.8571428571428571</v>
      </c>
      <c r="AB17" s="27">
        <f t="shared" si="0"/>
        <v>22.214285714285715</v>
      </c>
      <c r="AC17" s="27">
        <f t="shared" si="0"/>
        <v>24.642857142857142</v>
      </c>
      <c r="AD17" s="27">
        <f t="shared" si="0"/>
        <v>151.35714285714286</v>
      </c>
    </row>
    <row r="18" spans="1:30" s="26" customFormat="1" x14ac:dyDescent="0.25">
      <c r="A18" s="26" t="s">
        <v>27</v>
      </c>
      <c r="B18" s="27">
        <f>_xlfn.STDEV.P(B3:B16)</f>
        <v>16.001913150926544</v>
      </c>
      <c r="C18" s="27">
        <f t="shared" ref="C18:AD18" si="1">_xlfn.STDEV.P(C3:C16)</f>
        <v>14.269991347622621</v>
      </c>
      <c r="D18" s="27">
        <f t="shared" si="1"/>
        <v>0.58901508937395153</v>
      </c>
      <c r="E18" s="27">
        <f t="shared" si="1"/>
        <v>20.523878576836658</v>
      </c>
      <c r="F18" s="27">
        <f t="shared" si="1"/>
        <v>0</v>
      </c>
      <c r="G18" s="27">
        <f t="shared" si="1"/>
        <v>22.314656115455161</v>
      </c>
      <c r="H18" s="27">
        <f t="shared" si="1"/>
        <v>5.7160711496407304</v>
      </c>
      <c r="I18" s="27">
        <f t="shared" si="1"/>
        <v>0</v>
      </c>
      <c r="J18" s="27">
        <f t="shared" si="1"/>
        <v>0.3499271061118826</v>
      </c>
      <c r="K18" s="27">
        <f t="shared" si="1"/>
        <v>1.7899948694488097</v>
      </c>
      <c r="L18" s="27">
        <f t="shared" si="1"/>
        <v>22.496711777864927</v>
      </c>
      <c r="M18" s="27">
        <f t="shared" si="1"/>
        <v>13.370886741158866</v>
      </c>
      <c r="N18" s="27">
        <f t="shared" si="1"/>
        <v>22.786162109347625</v>
      </c>
      <c r="O18" s="27">
        <f t="shared" si="1"/>
        <v>4.6969377779353136</v>
      </c>
      <c r="P18" s="27">
        <f t="shared" si="1"/>
        <v>5.091008480344418</v>
      </c>
      <c r="Q18" s="27">
        <f t="shared" si="1"/>
        <v>1.1873172373979173</v>
      </c>
      <c r="R18" s="27">
        <f t="shared" si="1"/>
        <v>21.243006051932692</v>
      </c>
      <c r="S18" s="27">
        <f t="shared" si="1"/>
        <v>0.55787497685047538</v>
      </c>
      <c r="T18" s="27">
        <f t="shared" si="1"/>
        <v>1.486332289048915</v>
      </c>
      <c r="U18" s="27">
        <f t="shared" si="1"/>
        <v>3.3723061811751074</v>
      </c>
      <c r="V18" s="27">
        <f t="shared" si="1"/>
        <v>14.957081457098699</v>
      </c>
      <c r="W18" s="27">
        <f t="shared" si="1"/>
        <v>13.430281046187821</v>
      </c>
      <c r="X18" s="27">
        <f t="shared" si="1"/>
        <v>4.0989047815438777</v>
      </c>
      <c r="Y18" s="27">
        <f t="shared" si="1"/>
        <v>4.3618241830777214</v>
      </c>
      <c r="Z18" s="27">
        <f t="shared" si="1"/>
        <v>21.58514228229545</v>
      </c>
      <c r="AA18" s="27">
        <f t="shared" si="1"/>
        <v>1.7670452681218545</v>
      </c>
      <c r="AB18" s="27">
        <f t="shared" si="1"/>
        <v>12.818393990270229</v>
      </c>
      <c r="AC18" s="27">
        <f t="shared" si="1"/>
        <v>14.21069588553004</v>
      </c>
      <c r="AD18" s="27">
        <f t="shared" si="1"/>
        <v>20.896367226513469</v>
      </c>
    </row>
    <row r="19" spans="1:30" s="26" customFormat="1" x14ac:dyDescent="0.25">
      <c r="A19" s="26" t="s">
        <v>61</v>
      </c>
      <c r="B19" s="27">
        <f>SUM(B3:B16)</f>
        <v>382</v>
      </c>
      <c r="C19" s="27">
        <f t="shared" ref="C19:AD19" si="2">SUM(C3:C16)</f>
        <v>416</v>
      </c>
      <c r="D19" s="27">
        <f t="shared" si="2"/>
        <v>4</v>
      </c>
      <c r="E19" s="27">
        <f t="shared" si="2"/>
        <v>737</v>
      </c>
      <c r="F19" s="27">
        <f t="shared" si="2"/>
        <v>0</v>
      </c>
      <c r="G19" s="27">
        <f t="shared" si="2"/>
        <v>555</v>
      </c>
      <c r="H19" s="27">
        <f t="shared" si="2"/>
        <v>76</v>
      </c>
      <c r="I19" s="27">
        <f t="shared" si="2"/>
        <v>0</v>
      </c>
      <c r="J19" s="27">
        <f t="shared" si="2"/>
        <v>2</v>
      </c>
      <c r="K19" s="27">
        <f t="shared" si="2"/>
        <v>10</v>
      </c>
      <c r="L19" s="27">
        <f t="shared" si="2"/>
        <v>750</v>
      </c>
      <c r="M19" s="27">
        <f t="shared" si="2"/>
        <v>323</v>
      </c>
      <c r="N19" s="27">
        <f t="shared" si="2"/>
        <v>1177</v>
      </c>
      <c r="O19" s="27">
        <f t="shared" si="2"/>
        <v>80</v>
      </c>
      <c r="P19" s="27">
        <f t="shared" si="2"/>
        <v>32</v>
      </c>
      <c r="Q19" s="27">
        <f t="shared" si="2"/>
        <v>7</v>
      </c>
      <c r="R19" s="27">
        <f t="shared" si="2"/>
        <v>1262</v>
      </c>
      <c r="S19" s="27">
        <f t="shared" si="2"/>
        <v>3</v>
      </c>
      <c r="T19" s="27">
        <f t="shared" si="2"/>
        <v>15</v>
      </c>
      <c r="U19" s="27">
        <f t="shared" si="2"/>
        <v>65</v>
      </c>
      <c r="V19" s="27">
        <f t="shared" si="2"/>
        <v>448</v>
      </c>
      <c r="W19" s="27">
        <f t="shared" si="2"/>
        <v>355</v>
      </c>
      <c r="X19" s="27">
        <f t="shared" si="2"/>
        <v>19</v>
      </c>
      <c r="Y19" s="27">
        <f t="shared" si="2"/>
        <v>25</v>
      </c>
      <c r="Z19" s="27">
        <f t="shared" si="2"/>
        <v>466</v>
      </c>
      <c r="AA19" s="27">
        <f t="shared" si="2"/>
        <v>12</v>
      </c>
      <c r="AB19" s="27">
        <f t="shared" si="2"/>
        <v>311</v>
      </c>
      <c r="AC19" s="27">
        <f t="shared" si="2"/>
        <v>345</v>
      </c>
      <c r="AD19" s="27">
        <f t="shared" si="2"/>
        <v>2119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33F8-77E4-4ED0-9EE0-1C77FCA6CF29}">
  <dimension ref="A2:AD24"/>
  <sheetViews>
    <sheetView workbookViewId="0"/>
  </sheetViews>
  <sheetFormatPr defaultRowHeight="15" x14ac:dyDescent="0.25"/>
  <sheetData>
    <row r="2" spans="1:30" x14ac:dyDescent="0.25">
      <c r="B2" t="s">
        <v>0</v>
      </c>
      <c r="C2" t="s">
        <v>30</v>
      </c>
      <c r="D2" t="s">
        <v>28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55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58</v>
      </c>
      <c r="X2" t="s">
        <v>48</v>
      </c>
      <c r="Y2" t="s">
        <v>49</v>
      </c>
      <c r="Z2" t="s">
        <v>50</v>
      </c>
      <c r="AA2" t="s">
        <v>29</v>
      </c>
      <c r="AB2" t="s">
        <v>56</v>
      </c>
      <c r="AC2" t="s">
        <v>57</v>
      </c>
      <c r="AD2" t="s">
        <v>51</v>
      </c>
    </row>
    <row r="3" spans="1:30" x14ac:dyDescent="0.25">
      <c r="A3">
        <v>2004</v>
      </c>
      <c r="B3" s="25">
        <v>75</v>
      </c>
      <c r="C3" s="25">
        <v>81</v>
      </c>
      <c r="D3" s="25">
        <v>63</v>
      </c>
      <c r="E3" s="25">
        <v>69</v>
      </c>
      <c r="F3" s="25">
        <v>67</v>
      </c>
      <c r="G3" s="25">
        <v>80</v>
      </c>
      <c r="H3" s="25">
        <v>70</v>
      </c>
      <c r="I3" s="25">
        <v>67</v>
      </c>
      <c r="J3" s="25">
        <v>61</v>
      </c>
      <c r="K3" s="25">
        <v>74</v>
      </c>
      <c r="L3" s="25">
        <v>80</v>
      </c>
      <c r="M3" s="25">
        <v>81</v>
      </c>
      <c r="N3" s="25">
        <v>80</v>
      </c>
      <c r="O3" s="25">
        <v>74</v>
      </c>
      <c r="P3" s="25">
        <v>68</v>
      </c>
      <c r="Q3" s="25">
        <v>72</v>
      </c>
      <c r="R3" s="25">
        <v>85</v>
      </c>
      <c r="S3" s="25">
        <v>68</v>
      </c>
      <c r="T3" s="25">
        <v>62</v>
      </c>
      <c r="U3" s="25">
        <v>62</v>
      </c>
      <c r="V3" s="25">
        <v>76</v>
      </c>
      <c r="W3" s="25">
        <v>75</v>
      </c>
      <c r="X3" s="25">
        <v>59</v>
      </c>
      <c r="Y3" s="25">
        <v>62</v>
      </c>
      <c r="Z3" s="25">
        <v>76</v>
      </c>
      <c r="AA3" s="25">
        <v>69</v>
      </c>
      <c r="AB3" s="25">
        <v>73</v>
      </c>
      <c r="AC3" s="25">
        <v>74</v>
      </c>
      <c r="AD3" s="25">
        <v>82</v>
      </c>
    </row>
    <row r="4" spans="1:30" x14ac:dyDescent="0.25">
      <c r="A4">
        <v>2005</v>
      </c>
      <c r="B4" s="25">
        <v>75</v>
      </c>
      <c r="C4" s="25">
        <v>80</v>
      </c>
      <c r="D4" s="25">
        <v>64</v>
      </c>
      <c r="E4" s="25">
        <v>69</v>
      </c>
      <c r="F4" s="25">
        <v>66</v>
      </c>
      <c r="G4" s="25">
        <v>80</v>
      </c>
      <c r="H4" s="25">
        <v>64</v>
      </c>
      <c r="I4" s="25">
        <v>67</v>
      </c>
      <c r="J4" s="25">
        <v>60</v>
      </c>
      <c r="K4" s="25">
        <v>73</v>
      </c>
      <c r="L4" s="25">
        <v>79</v>
      </c>
      <c r="M4" s="25">
        <v>81</v>
      </c>
      <c r="N4" s="25">
        <v>78</v>
      </c>
      <c r="O4" s="25">
        <v>74</v>
      </c>
      <c r="P4" s="25">
        <v>65</v>
      </c>
      <c r="Q4" s="25">
        <v>73</v>
      </c>
      <c r="R4" s="25">
        <v>84</v>
      </c>
      <c r="S4" s="25">
        <v>64</v>
      </c>
      <c r="T4" s="25">
        <v>61</v>
      </c>
      <c r="U4" s="25">
        <v>61</v>
      </c>
      <c r="V4" s="25">
        <v>77</v>
      </c>
      <c r="W4" s="25">
        <v>76</v>
      </c>
      <c r="X4" s="25">
        <v>57</v>
      </c>
      <c r="Y4" s="25">
        <v>62</v>
      </c>
      <c r="Z4" s="25">
        <v>74</v>
      </c>
      <c r="AA4" s="25">
        <v>69</v>
      </c>
      <c r="AB4" s="25">
        <v>71</v>
      </c>
      <c r="AC4" s="25">
        <v>75</v>
      </c>
      <c r="AD4" s="25">
        <v>80</v>
      </c>
    </row>
    <row r="5" spans="1:30" x14ac:dyDescent="0.25">
      <c r="A5">
        <v>2006</v>
      </c>
      <c r="B5" s="25">
        <v>74</v>
      </c>
      <c r="C5" s="25">
        <v>78</v>
      </c>
      <c r="D5" s="25">
        <v>62</v>
      </c>
      <c r="E5" s="25">
        <v>71</v>
      </c>
      <c r="F5" s="25">
        <v>69</v>
      </c>
      <c r="G5" s="25">
        <v>78</v>
      </c>
      <c r="H5" s="25">
        <v>65</v>
      </c>
      <c r="I5" s="25">
        <v>67</v>
      </c>
      <c r="J5" s="25">
        <v>60</v>
      </c>
      <c r="K5" s="25">
        <v>69</v>
      </c>
      <c r="L5" s="25">
        <v>77</v>
      </c>
      <c r="M5" s="25">
        <v>80</v>
      </c>
      <c r="N5" s="25">
        <v>77</v>
      </c>
      <c r="O5" s="25">
        <v>74</v>
      </c>
      <c r="P5" s="25">
        <v>65</v>
      </c>
      <c r="Q5" s="25">
        <v>70</v>
      </c>
      <c r="R5" s="25">
        <v>83</v>
      </c>
      <c r="S5" s="25">
        <v>65</v>
      </c>
      <c r="T5" s="25">
        <v>61</v>
      </c>
      <c r="U5" s="25">
        <v>61</v>
      </c>
      <c r="V5" s="25">
        <v>76</v>
      </c>
      <c r="W5" s="25">
        <v>77</v>
      </c>
      <c r="X5" s="25">
        <v>58</v>
      </c>
      <c r="Y5" s="25">
        <v>62</v>
      </c>
      <c r="Z5" s="25">
        <v>76</v>
      </c>
      <c r="AA5" s="25">
        <v>69</v>
      </c>
      <c r="AB5" s="25">
        <v>68</v>
      </c>
      <c r="AC5" s="25">
        <v>74</v>
      </c>
      <c r="AD5" s="25">
        <v>82</v>
      </c>
    </row>
    <row r="6" spans="1:30" x14ac:dyDescent="0.25">
      <c r="A6">
        <v>2007</v>
      </c>
      <c r="B6" s="25">
        <v>71</v>
      </c>
      <c r="C6" s="25">
        <v>77</v>
      </c>
      <c r="D6" s="25">
        <v>60</v>
      </c>
      <c r="E6" s="25">
        <v>71</v>
      </c>
      <c r="F6" s="25">
        <v>68</v>
      </c>
      <c r="G6" s="25">
        <v>78</v>
      </c>
      <c r="H6" s="25">
        <v>65</v>
      </c>
      <c r="I6" s="25">
        <v>64</v>
      </c>
      <c r="J6" s="25">
        <v>60</v>
      </c>
      <c r="K6" s="25">
        <v>66</v>
      </c>
      <c r="L6" s="25">
        <v>76</v>
      </c>
      <c r="M6" s="25">
        <v>80</v>
      </c>
      <c r="N6" s="25">
        <v>77</v>
      </c>
      <c r="O6" s="25">
        <v>72</v>
      </c>
      <c r="P6" s="25">
        <v>63</v>
      </c>
      <c r="Q6" s="25">
        <v>70</v>
      </c>
      <c r="R6" s="25">
        <v>82</v>
      </c>
      <c r="S6" s="25">
        <v>64</v>
      </c>
      <c r="T6" s="25">
        <v>60</v>
      </c>
      <c r="U6" s="25">
        <v>59</v>
      </c>
      <c r="V6" s="25">
        <v>72</v>
      </c>
      <c r="W6" s="25">
        <v>73</v>
      </c>
      <c r="X6" s="25">
        <v>57</v>
      </c>
      <c r="Y6" s="25">
        <v>61</v>
      </c>
      <c r="Z6" s="25">
        <v>73</v>
      </c>
      <c r="AA6" s="25">
        <v>69</v>
      </c>
      <c r="AB6" s="25">
        <v>67</v>
      </c>
      <c r="AC6" s="25">
        <v>72</v>
      </c>
      <c r="AD6" s="25">
        <v>77</v>
      </c>
    </row>
    <row r="7" spans="1:30" x14ac:dyDescent="0.25">
      <c r="A7">
        <v>2008</v>
      </c>
      <c r="B7" s="25">
        <v>73</v>
      </c>
      <c r="C7" s="25">
        <v>78</v>
      </c>
      <c r="D7" s="25">
        <v>61</v>
      </c>
      <c r="E7" s="25">
        <v>71</v>
      </c>
      <c r="F7" s="25">
        <v>69</v>
      </c>
      <c r="G7" s="25">
        <v>80</v>
      </c>
      <c r="H7" s="25">
        <v>65</v>
      </c>
      <c r="I7" s="25">
        <v>66</v>
      </c>
      <c r="J7" s="25">
        <v>61</v>
      </c>
      <c r="K7" s="25">
        <v>68</v>
      </c>
      <c r="L7" s="25">
        <v>77</v>
      </c>
      <c r="M7" s="25">
        <v>78</v>
      </c>
      <c r="N7" s="25">
        <v>79</v>
      </c>
      <c r="O7" s="25">
        <v>74</v>
      </c>
      <c r="P7" s="25">
        <v>64</v>
      </c>
      <c r="Q7" s="25">
        <v>72</v>
      </c>
      <c r="R7" s="25">
        <v>83</v>
      </c>
      <c r="S7" s="25">
        <v>69</v>
      </c>
      <c r="T7" s="25">
        <v>64</v>
      </c>
      <c r="U7" s="25">
        <v>62</v>
      </c>
      <c r="V7" s="25">
        <v>78</v>
      </c>
      <c r="W7" s="25">
        <v>74</v>
      </c>
      <c r="X7" s="25">
        <v>59</v>
      </c>
      <c r="Y7" s="25">
        <v>61</v>
      </c>
      <c r="Z7" s="25">
        <v>74</v>
      </c>
      <c r="AA7" s="25">
        <v>70</v>
      </c>
      <c r="AB7" s="25">
        <v>68</v>
      </c>
      <c r="AC7" s="25">
        <v>73</v>
      </c>
      <c r="AD7" s="25">
        <v>80</v>
      </c>
    </row>
    <row r="8" spans="1:30" x14ac:dyDescent="0.25">
      <c r="A8">
        <v>2009</v>
      </c>
      <c r="B8" s="25">
        <v>74</v>
      </c>
      <c r="C8" s="25">
        <v>77</v>
      </c>
      <c r="D8" s="25">
        <v>61</v>
      </c>
      <c r="E8" s="25">
        <v>70</v>
      </c>
      <c r="F8" s="25">
        <v>69</v>
      </c>
      <c r="G8" s="25">
        <v>79</v>
      </c>
      <c r="H8" s="25">
        <v>65</v>
      </c>
      <c r="I8" s="25">
        <v>66</v>
      </c>
      <c r="J8" s="25">
        <v>60</v>
      </c>
      <c r="K8" s="25">
        <v>67</v>
      </c>
      <c r="L8" s="25">
        <v>77</v>
      </c>
      <c r="M8" s="25">
        <v>76</v>
      </c>
      <c r="N8" s="25">
        <v>78</v>
      </c>
      <c r="O8" s="25">
        <v>73</v>
      </c>
      <c r="P8" s="25">
        <v>66</v>
      </c>
      <c r="Q8" s="25">
        <v>72</v>
      </c>
      <c r="R8" s="25">
        <v>81</v>
      </c>
      <c r="S8" s="25">
        <v>63</v>
      </c>
      <c r="T8" s="25">
        <v>62</v>
      </c>
      <c r="U8" s="25">
        <v>60</v>
      </c>
      <c r="V8" s="25">
        <v>76</v>
      </c>
      <c r="W8" s="25">
        <v>75</v>
      </c>
      <c r="X8" s="25">
        <v>59</v>
      </c>
      <c r="Y8" s="25">
        <v>62</v>
      </c>
      <c r="Z8" s="25">
        <v>75</v>
      </c>
      <c r="AA8" s="25">
        <v>70</v>
      </c>
      <c r="AB8" s="25">
        <v>68</v>
      </c>
      <c r="AC8" s="25">
        <v>72</v>
      </c>
      <c r="AD8" s="25">
        <v>80</v>
      </c>
    </row>
    <row r="9" spans="1:30" x14ac:dyDescent="0.25">
      <c r="A9">
        <v>2010</v>
      </c>
      <c r="B9" s="25">
        <v>77</v>
      </c>
      <c r="C9" s="25">
        <v>81</v>
      </c>
      <c r="D9" s="25">
        <v>62</v>
      </c>
      <c r="E9" s="25">
        <v>72</v>
      </c>
      <c r="F9" s="25">
        <v>68</v>
      </c>
      <c r="G9" s="25">
        <v>81</v>
      </c>
      <c r="H9" s="25">
        <v>66</v>
      </c>
      <c r="I9" s="25">
        <v>66</v>
      </c>
      <c r="J9" s="25">
        <v>62</v>
      </c>
      <c r="K9" s="25">
        <v>66</v>
      </c>
      <c r="L9" s="25">
        <v>81</v>
      </c>
      <c r="M9" s="25">
        <v>80</v>
      </c>
      <c r="N9" s="25">
        <v>82</v>
      </c>
      <c r="O9" s="25">
        <v>77</v>
      </c>
      <c r="P9" s="25">
        <v>68</v>
      </c>
      <c r="Q9" s="25">
        <v>72</v>
      </c>
      <c r="R9" s="25">
        <v>83</v>
      </c>
      <c r="S9" s="25">
        <v>67</v>
      </c>
      <c r="T9" s="25">
        <v>65</v>
      </c>
      <c r="U9" s="25">
        <v>63</v>
      </c>
      <c r="V9" s="25">
        <v>80</v>
      </c>
      <c r="W9" s="25">
        <v>78</v>
      </c>
      <c r="X9" s="25">
        <v>61</v>
      </c>
      <c r="Y9" s="25">
        <v>63</v>
      </c>
      <c r="Z9" s="25">
        <v>78</v>
      </c>
      <c r="AA9" s="25">
        <v>71</v>
      </c>
      <c r="AB9" s="25">
        <v>71</v>
      </c>
      <c r="AC9" s="25">
        <v>75</v>
      </c>
      <c r="AD9" s="25">
        <v>84</v>
      </c>
    </row>
    <row r="10" spans="1:30" x14ac:dyDescent="0.25">
      <c r="A10">
        <v>2011</v>
      </c>
      <c r="B10" s="25">
        <v>72</v>
      </c>
      <c r="C10" s="25">
        <v>78</v>
      </c>
      <c r="D10" s="25">
        <v>56</v>
      </c>
      <c r="E10" s="25">
        <v>70</v>
      </c>
      <c r="F10" s="25">
        <v>63</v>
      </c>
      <c r="G10" s="25">
        <v>77</v>
      </c>
      <c r="H10" s="25">
        <v>61</v>
      </c>
      <c r="I10" s="25">
        <v>64</v>
      </c>
      <c r="J10" s="25">
        <v>58</v>
      </c>
      <c r="K10" s="25">
        <v>59</v>
      </c>
      <c r="L10" s="25">
        <v>78</v>
      </c>
      <c r="M10" s="25">
        <v>76</v>
      </c>
      <c r="N10" s="25">
        <v>75</v>
      </c>
      <c r="O10" s="25">
        <v>71</v>
      </c>
      <c r="P10" s="25">
        <v>61</v>
      </c>
      <c r="Q10" s="25">
        <v>71</v>
      </c>
      <c r="R10" s="25">
        <v>77</v>
      </c>
      <c r="S10" s="25">
        <v>59</v>
      </c>
      <c r="T10" s="25">
        <v>58</v>
      </c>
      <c r="U10" s="25">
        <v>58</v>
      </c>
      <c r="V10" s="25">
        <v>76</v>
      </c>
      <c r="W10" s="25">
        <v>74</v>
      </c>
      <c r="X10" s="25">
        <v>53</v>
      </c>
      <c r="Y10" s="25">
        <v>57</v>
      </c>
      <c r="Z10" s="25">
        <v>74</v>
      </c>
      <c r="AA10" s="25">
        <v>65</v>
      </c>
      <c r="AB10" s="25">
        <v>66</v>
      </c>
      <c r="AC10" s="25">
        <v>71</v>
      </c>
      <c r="AD10" s="25">
        <v>76</v>
      </c>
    </row>
    <row r="11" spans="1:30" x14ac:dyDescent="0.25">
      <c r="A11">
        <v>2012</v>
      </c>
      <c r="B11" s="25">
        <v>70</v>
      </c>
      <c r="C11" s="25">
        <v>75</v>
      </c>
      <c r="D11" s="25">
        <v>59</v>
      </c>
      <c r="E11" s="25">
        <v>70</v>
      </c>
      <c r="F11" s="25">
        <v>62</v>
      </c>
      <c r="G11" s="25">
        <v>76</v>
      </c>
      <c r="H11" s="25">
        <v>60</v>
      </c>
      <c r="I11" s="25">
        <v>64</v>
      </c>
      <c r="J11" s="25">
        <v>59</v>
      </c>
      <c r="K11" s="25">
        <v>64</v>
      </c>
      <c r="L11" s="25">
        <v>73</v>
      </c>
      <c r="M11" s="25">
        <v>73</v>
      </c>
      <c r="N11" s="25">
        <v>74</v>
      </c>
      <c r="O11" s="25">
        <v>68</v>
      </c>
      <c r="P11" s="25">
        <v>61</v>
      </c>
      <c r="Q11" s="25"/>
      <c r="R11" s="25">
        <v>77</v>
      </c>
      <c r="S11" s="25">
        <v>60</v>
      </c>
      <c r="T11" s="25">
        <v>60</v>
      </c>
      <c r="U11" s="25">
        <v>59</v>
      </c>
      <c r="V11" s="25">
        <v>74</v>
      </c>
      <c r="W11" s="25">
        <v>70</v>
      </c>
      <c r="X11" s="25">
        <v>54</v>
      </c>
      <c r="Y11" s="25">
        <v>57</v>
      </c>
      <c r="Z11" s="25">
        <v>71</v>
      </c>
      <c r="AA11" s="25">
        <v>65</v>
      </c>
      <c r="AB11" s="25">
        <v>64</v>
      </c>
      <c r="AC11" s="25">
        <v>68</v>
      </c>
      <c r="AD11" s="25">
        <v>75</v>
      </c>
    </row>
    <row r="12" spans="1:30" x14ac:dyDescent="0.25">
      <c r="A12">
        <v>2013</v>
      </c>
      <c r="B12" s="25">
        <v>76</v>
      </c>
      <c r="C12" s="25">
        <v>80</v>
      </c>
      <c r="D12" s="25">
        <v>63</v>
      </c>
      <c r="E12" s="25">
        <v>74</v>
      </c>
      <c r="F12" s="25">
        <v>64</v>
      </c>
      <c r="G12" s="25">
        <v>80</v>
      </c>
      <c r="H12" s="25">
        <v>64</v>
      </c>
      <c r="I12" s="25">
        <v>66</v>
      </c>
      <c r="J12" s="25">
        <v>63</v>
      </c>
      <c r="K12" s="25">
        <v>70</v>
      </c>
      <c r="L12" s="25">
        <v>79</v>
      </c>
      <c r="M12" s="25">
        <v>78</v>
      </c>
      <c r="N12" s="25">
        <v>79</v>
      </c>
      <c r="O12" s="25">
        <v>75</v>
      </c>
      <c r="P12" s="25">
        <v>65</v>
      </c>
      <c r="Q12" s="25"/>
      <c r="R12" s="25">
        <v>78</v>
      </c>
      <c r="S12" s="25">
        <v>64</v>
      </c>
      <c r="T12" s="25">
        <v>64</v>
      </c>
      <c r="U12" s="25">
        <v>62</v>
      </c>
      <c r="V12" s="25">
        <v>78</v>
      </c>
      <c r="W12" s="25">
        <v>77</v>
      </c>
      <c r="X12" s="25">
        <v>59</v>
      </c>
      <c r="Y12" s="25">
        <v>61</v>
      </c>
      <c r="Z12" s="25">
        <v>76</v>
      </c>
      <c r="AA12" s="25">
        <v>69</v>
      </c>
      <c r="AB12" s="25">
        <v>70</v>
      </c>
      <c r="AC12" s="25">
        <v>74</v>
      </c>
      <c r="AD12" s="25">
        <v>85</v>
      </c>
    </row>
    <row r="13" spans="1:30" x14ac:dyDescent="0.25">
      <c r="A13">
        <v>2014</v>
      </c>
      <c r="B13" s="25">
        <v>78</v>
      </c>
      <c r="C13" s="25">
        <v>82</v>
      </c>
      <c r="D13" s="25">
        <v>66</v>
      </c>
      <c r="E13" s="25">
        <v>76</v>
      </c>
      <c r="F13" s="25">
        <v>69</v>
      </c>
      <c r="G13" s="25">
        <v>81</v>
      </c>
      <c r="H13" s="25">
        <v>68</v>
      </c>
      <c r="I13" s="25">
        <v>70</v>
      </c>
      <c r="J13" s="25">
        <v>65</v>
      </c>
      <c r="K13" s="25">
        <v>75</v>
      </c>
      <c r="L13" s="25">
        <v>79</v>
      </c>
      <c r="M13" s="25">
        <v>79</v>
      </c>
      <c r="N13" s="25">
        <v>80</v>
      </c>
      <c r="O13" s="25">
        <v>78</v>
      </c>
      <c r="P13" s="25">
        <v>70</v>
      </c>
      <c r="Q13" s="25">
        <v>73</v>
      </c>
      <c r="R13" s="25">
        <v>81</v>
      </c>
      <c r="S13" s="25">
        <v>68</v>
      </c>
      <c r="T13" s="25">
        <v>69</v>
      </c>
      <c r="U13" s="25">
        <v>64</v>
      </c>
      <c r="V13" s="25">
        <v>81</v>
      </c>
      <c r="W13" s="25">
        <v>79</v>
      </c>
      <c r="X13" s="25">
        <v>64</v>
      </c>
      <c r="Y13" s="25">
        <v>67</v>
      </c>
      <c r="Z13" s="25">
        <v>78</v>
      </c>
      <c r="AA13" s="25">
        <v>74</v>
      </c>
      <c r="AB13" s="25">
        <v>73</v>
      </c>
      <c r="AC13" s="25">
        <v>76</v>
      </c>
      <c r="AD13" s="25">
        <v>89</v>
      </c>
    </row>
    <row r="14" spans="1:30" x14ac:dyDescent="0.25">
      <c r="A14">
        <v>2015</v>
      </c>
      <c r="B14" s="25">
        <v>73</v>
      </c>
      <c r="C14" s="25">
        <v>79</v>
      </c>
      <c r="D14" s="25">
        <v>58</v>
      </c>
      <c r="E14" s="25">
        <v>73</v>
      </c>
      <c r="F14" s="25">
        <v>65</v>
      </c>
      <c r="G14" s="25">
        <v>78</v>
      </c>
      <c r="H14" s="25">
        <v>62</v>
      </c>
      <c r="I14" s="25">
        <v>65</v>
      </c>
      <c r="J14" s="25">
        <v>60</v>
      </c>
      <c r="K14" s="25">
        <v>71</v>
      </c>
      <c r="L14" s="25">
        <v>75</v>
      </c>
      <c r="M14" s="25">
        <v>75</v>
      </c>
      <c r="N14" s="25">
        <v>76</v>
      </c>
      <c r="O14" s="25">
        <v>71</v>
      </c>
      <c r="P14" s="25">
        <v>62</v>
      </c>
      <c r="Q14" s="25">
        <v>72</v>
      </c>
      <c r="R14" s="25">
        <v>73</v>
      </c>
      <c r="S14" s="25">
        <v>61</v>
      </c>
      <c r="T14" s="25">
        <v>63</v>
      </c>
      <c r="U14" s="25">
        <v>59</v>
      </c>
      <c r="V14" s="25">
        <v>76</v>
      </c>
      <c r="W14" s="25">
        <v>75</v>
      </c>
      <c r="X14" s="25">
        <v>56</v>
      </c>
      <c r="Y14" s="25">
        <v>63</v>
      </c>
      <c r="Z14" s="25">
        <v>74</v>
      </c>
      <c r="AA14" s="25">
        <v>73</v>
      </c>
      <c r="AB14" s="25">
        <v>97</v>
      </c>
      <c r="AC14" s="25">
        <v>71</v>
      </c>
      <c r="AD14" s="25">
        <v>80</v>
      </c>
    </row>
    <row r="15" spans="1:30" x14ac:dyDescent="0.25">
      <c r="A15">
        <v>2016</v>
      </c>
      <c r="B15" s="25">
        <v>76</v>
      </c>
      <c r="C15" s="25">
        <v>81</v>
      </c>
      <c r="D15" s="25">
        <v>59</v>
      </c>
      <c r="E15" s="25">
        <v>76</v>
      </c>
      <c r="F15" s="25">
        <v>63</v>
      </c>
      <c r="G15" s="25">
        <v>79</v>
      </c>
      <c r="H15" s="25">
        <v>63</v>
      </c>
      <c r="I15" s="25">
        <v>66</v>
      </c>
      <c r="J15" s="25">
        <v>60</v>
      </c>
      <c r="K15" s="25">
        <v>75</v>
      </c>
      <c r="L15" s="25">
        <v>77</v>
      </c>
      <c r="M15" s="25">
        <v>77</v>
      </c>
      <c r="N15" s="25">
        <v>79</v>
      </c>
      <c r="O15" s="25">
        <v>75</v>
      </c>
      <c r="P15" s="25">
        <v>64</v>
      </c>
      <c r="Q15" s="25">
        <v>75</v>
      </c>
      <c r="R15" s="25">
        <v>81</v>
      </c>
      <c r="S15" s="25">
        <v>64</v>
      </c>
      <c r="T15" s="25">
        <v>65</v>
      </c>
      <c r="U15" s="25">
        <v>61</v>
      </c>
      <c r="V15" s="25">
        <v>77</v>
      </c>
      <c r="W15" s="25">
        <v>77</v>
      </c>
      <c r="X15" s="25">
        <v>56</v>
      </c>
      <c r="Y15" s="25">
        <v>63</v>
      </c>
      <c r="Z15" s="25">
        <v>75</v>
      </c>
      <c r="AA15" s="25">
        <v>72</v>
      </c>
      <c r="AB15" s="25">
        <v>69</v>
      </c>
      <c r="AC15" s="25">
        <v>73</v>
      </c>
      <c r="AD15" s="25">
        <v>84</v>
      </c>
    </row>
    <row r="16" spans="1:30" x14ac:dyDescent="0.25">
      <c r="A16">
        <v>2017</v>
      </c>
      <c r="B16" s="25" t="s">
        <v>64</v>
      </c>
      <c r="C16" s="25" t="s">
        <v>66</v>
      </c>
      <c r="D16" s="25" t="s">
        <v>68</v>
      </c>
      <c r="E16" s="25" t="s">
        <v>69</v>
      </c>
      <c r="F16" s="25" t="s">
        <v>70</v>
      </c>
      <c r="G16" s="25" t="s">
        <v>71</v>
      </c>
      <c r="H16" s="25" t="s">
        <v>72</v>
      </c>
      <c r="I16" s="25" t="s">
        <v>73</v>
      </c>
      <c r="J16" s="25" t="s">
        <v>65</v>
      </c>
      <c r="K16" s="25" t="s">
        <v>69</v>
      </c>
      <c r="L16" s="25" t="s">
        <v>69</v>
      </c>
      <c r="M16" s="25" t="s">
        <v>74</v>
      </c>
      <c r="N16" s="25" t="s">
        <v>76</v>
      </c>
      <c r="O16" s="25" t="s">
        <v>69</v>
      </c>
      <c r="P16" s="25" t="s">
        <v>72</v>
      </c>
      <c r="Q16" s="25" t="s">
        <v>74</v>
      </c>
      <c r="R16" s="25" t="s">
        <v>75</v>
      </c>
      <c r="S16" s="25" t="s">
        <v>67</v>
      </c>
      <c r="T16" s="25" t="s">
        <v>72</v>
      </c>
      <c r="U16" s="25" t="s">
        <v>65</v>
      </c>
      <c r="V16" s="25" t="s">
        <v>74</v>
      </c>
      <c r="W16" s="25" t="s">
        <v>69</v>
      </c>
      <c r="X16" s="25" t="s">
        <v>77</v>
      </c>
      <c r="Y16" s="25" t="s">
        <v>70</v>
      </c>
      <c r="Z16" s="25" t="s">
        <v>64</v>
      </c>
      <c r="AA16" s="25" t="s">
        <v>78</v>
      </c>
      <c r="AB16" s="25" t="s">
        <v>73</v>
      </c>
      <c r="AC16" s="25" t="s">
        <v>79</v>
      </c>
      <c r="AD16" s="25" t="s">
        <v>80</v>
      </c>
    </row>
    <row r="17" spans="1:30" s="26" customFormat="1" x14ac:dyDescent="0.25">
      <c r="A17" s="26" t="s">
        <v>60</v>
      </c>
      <c r="B17" s="27">
        <f>AVERAGE(B3:B16)</f>
        <v>74.15384615384616</v>
      </c>
      <c r="C17" s="27">
        <f t="shared" ref="C17:AD17" si="0">AVERAGE(C3:C16)</f>
        <v>79</v>
      </c>
      <c r="D17" s="27">
        <f t="shared" si="0"/>
        <v>61.07692307692308</v>
      </c>
      <c r="E17" s="27">
        <f t="shared" si="0"/>
        <v>71.692307692307693</v>
      </c>
      <c r="F17" s="27">
        <f t="shared" si="0"/>
        <v>66.307692307692307</v>
      </c>
      <c r="G17" s="27">
        <f t="shared" si="0"/>
        <v>79</v>
      </c>
      <c r="H17" s="27">
        <f t="shared" si="0"/>
        <v>64.461538461538467</v>
      </c>
      <c r="I17" s="27">
        <f t="shared" si="0"/>
        <v>66</v>
      </c>
      <c r="J17" s="27">
        <f t="shared" si="0"/>
        <v>60.692307692307693</v>
      </c>
      <c r="K17" s="27">
        <f t="shared" si="0"/>
        <v>69</v>
      </c>
      <c r="L17" s="27">
        <f t="shared" si="0"/>
        <v>77.538461538461533</v>
      </c>
      <c r="M17" s="27">
        <f t="shared" si="0"/>
        <v>78</v>
      </c>
      <c r="N17" s="27">
        <f t="shared" si="0"/>
        <v>78</v>
      </c>
      <c r="O17" s="27">
        <f t="shared" si="0"/>
        <v>73.538461538461533</v>
      </c>
      <c r="P17" s="27">
        <f t="shared" si="0"/>
        <v>64.769230769230774</v>
      </c>
      <c r="Q17" s="27">
        <f t="shared" si="0"/>
        <v>72</v>
      </c>
      <c r="R17" s="27">
        <f t="shared" si="0"/>
        <v>80.615384615384613</v>
      </c>
      <c r="S17" s="27">
        <f t="shared" si="0"/>
        <v>64.307692307692307</v>
      </c>
      <c r="T17" s="27">
        <f t="shared" si="0"/>
        <v>62.615384615384613</v>
      </c>
      <c r="U17" s="27">
        <f t="shared" si="0"/>
        <v>60.846153846153847</v>
      </c>
      <c r="V17" s="27">
        <f t="shared" si="0"/>
        <v>76.692307692307693</v>
      </c>
      <c r="W17" s="27">
        <f t="shared" si="0"/>
        <v>75.384615384615387</v>
      </c>
      <c r="X17" s="27">
        <f t="shared" si="0"/>
        <v>57.846153846153847</v>
      </c>
      <c r="Y17" s="27">
        <f t="shared" si="0"/>
        <v>61.615384615384613</v>
      </c>
      <c r="Z17" s="27">
        <f t="shared" si="0"/>
        <v>74.92307692307692</v>
      </c>
      <c r="AA17" s="27">
        <f t="shared" si="0"/>
        <v>69.615384615384613</v>
      </c>
      <c r="AB17" s="27">
        <f t="shared" si="0"/>
        <v>71.15384615384616</v>
      </c>
      <c r="AC17" s="27">
        <f t="shared" si="0"/>
        <v>72.92307692307692</v>
      </c>
      <c r="AD17" s="27">
        <f t="shared" si="0"/>
        <v>81.07692307692308</v>
      </c>
    </row>
    <row r="18" spans="1:30" s="26" customFormat="1" x14ac:dyDescent="0.25">
      <c r="A18" s="26" t="s">
        <v>27</v>
      </c>
      <c r="B18" s="28">
        <f>_xlfn.STDEV.P(B3:B16)</f>
        <v>2.2479444917234552</v>
      </c>
      <c r="C18" s="28">
        <f t="shared" ref="C18:AD18" si="1">_xlfn.STDEV.P(C3:C16)</f>
        <v>1.9611613513818404</v>
      </c>
      <c r="D18" s="28">
        <f t="shared" si="1"/>
        <v>2.5858055867648631</v>
      </c>
      <c r="E18" s="28">
        <f t="shared" si="1"/>
        <v>2.2999871365732387</v>
      </c>
      <c r="F18" s="28">
        <f t="shared" si="1"/>
        <v>2.5232645333625734</v>
      </c>
      <c r="G18" s="28">
        <f t="shared" si="1"/>
        <v>1.4675987714106855</v>
      </c>
      <c r="H18" s="28">
        <f t="shared" si="1"/>
        <v>2.5903781908434982</v>
      </c>
      <c r="I18" s="28">
        <f t="shared" si="1"/>
        <v>1.5689290811054724</v>
      </c>
      <c r="J18" s="28">
        <f t="shared" si="1"/>
        <v>1.7269187938956652</v>
      </c>
      <c r="K18" s="28">
        <f t="shared" si="1"/>
        <v>4.523443208612048</v>
      </c>
      <c r="L18" s="28">
        <f t="shared" si="1"/>
        <v>2.061194001072963</v>
      </c>
      <c r="M18" s="28">
        <f t="shared" si="1"/>
        <v>2.385855756810896</v>
      </c>
      <c r="N18" s="28">
        <f t="shared" si="1"/>
        <v>2.1122354181147664</v>
      </c>
      <c r="O18" s="28">
        <f t="shared" si="1"/>
        <v>2.5302898774459273</v>
      </c>
      <c r="P18" s="28">
        <f t="shared" si="1"/>
        <v>2.6356679536941257</v>
      </c>
      <c r="Q18" s="28">
        <f t="shared" si="1"/>
        <v>1.3483997249264841</v>
      </c>
      <c r="R18" s="28">
        <f t="shared" si="1"/>
        <v>3.2942481700559778</v>
      </c>
      <c r="S18" s="28">
        <f t="shared" si="1"/>
        <v>2.9970399598120241</v>
      </c>
      <c r="T18" s="28">
        <f t="shared" si="1"/>
        <v>2.7326645643587093</v>
      </c>
      <c r="U18" s="28">
        <f t="shared" si="1"/>
        <v>1.7027648939368198</v>
      </c>
      <c r="V18" s="28">
        <f t="shared" si="1"/>
        <v>2.2320950966995246</v>
      </c>
      <c r="W18" s="28">
        <f t="shared" si="1"/>
        <v>2.2715112400359079</v>
      </c>
      <c r="X18" s="28">
        <f t="shared" si="1"/>
        <v>2.7692307692307696</v>
      </c>
      <c r="Y18" s="28">
        <f t="shared" si="1"/>
        <v>2.4663414679817532</v>
      </c>
      <c r="Z18" s="28">
        <f t="shared" si="1"/>
        <v>1.8589301497837802</v>
      </c>
      <c r="AA18" s="28">
        <f t="shared" si="1"/>
        <v>2.5279502654084589</v>
      </c>
      <c r="AB18" s="28">
        <f t="shared" si="1"/>
        <v>7.8725047704619868</v>
      </c>
      <c r="AC18" s="28">
        <f t="shared" si="1"/>
        <v>2.0554444947519057</v>
      </c>
      <c r="AD18" s="28">
        <f t="shared" si="1"/>
        <v>3.7305709701483516</v>
      </c>
    </row>
    <row r="24" spans="1:30" x14ac:dyDescent="0.25">
      <c r="A24" s="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EC80-EA04-4B24-A0AD-93132E18D919}">
  <dimension ref="A1:AD57"/>
  <sheetViews>
    <sheetView workbookViewId="0"/>
  </sheetViews>
  <sheetFormatPr defaultRowHeight="15" x14ac:dyDescent="0.25"/>
  <cols>
    <col min="2" max="2" width="9.42578125" bestFit="1" customWidth="1"/>
  </cols>
  <sheetData>
    <row r="1" spans="1:30" x14ac:dyDescent="0.25">
      <c r="A1" t="s">
        <v>81</v>
      </c>
    </row>
    <row r="2" spans="1:30" x14ac:dyDescent="0.25">
      <c r="B2" t="s">
        <v>0</v>
      </c>
      <c r="C2" t="s">
        <v>30</v>
      </c>
      <c r="D2" t="s">
        <v>28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55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58</v>
      </c>
      <c r="X2" t="s">
        <v>48</v>
      </c>
      <c r="Y2" t="s">
        <v>49</v>
      </c>
      <c r="Z2" t="s">
        <v>50</v>
      </c>
      <c r="AA2" t="s">
        <v>29</v>
      </c>
      <c r="AB2" t="s">
        <v>56</v>
      </c>
      <c r="AC2" t="s">
        <v>57</v>
      </c>
      <c r="AD2" t="s">
        <v>51</v>
      </c>
    </row>
    <row r="3" spans="1:30" x14ac:dyDescent="0.25">
      <c r="A3">
        <v>2004</v>
      </c>
      <c r="B3" s="24">
        <v>41</v>
      </c>
      <c r="C3" s="24">
        <v>39</v>
      </c>
      <c r="D3" s="24">
        <v>132</v>
      </c>
      <c r="E3" s="24">
        <v>53</v>
      </c>
      <c r="F3" s="24">
        <v>102</v>
      </c>
      <c r="G3" s="24">
        <v>43</v>
      </c>
      <c r="H3" s="24">
        <v>76</v>
      </c>
      <c r="I3" s="24">
        <v>123</v>
      </c>
      <c r="J3" s="24">
        <v>121</v>
      </c>
      <c r="K3" s="24">
        <v>56</v>
      </c>
      <c r="L3" s="24">
        <v>48</v>
      </c>
      <c r="M3" s="24">
        <v>46</v>
      </c>
      <c r="N3" s="24">
        <v>13</v>
      </c>
      <c r="O3" s="24">
        <v>52</v>
      </c>
      <c r="P3" s="24">
        <v>108</v>
      </c>
      <c r="Q3" s="24">
        <v>55</v>
      </c>
      <c r="R3" s="24">
        <v>64</v>
      </c>
      <c r="S3" s="24">
        <v>70</v>
      </c>
      <c r="T3" s="24">
        <v>58</v>
      </c>
      <c r="U3" s="24">
        <v>88</v>
      </c>
      <c r="V3" s="24">
        <v>34</v>
      </c>
      <c r="W3" s="24">
        <v>39</v>
      </c>
      <c r="X3" s="24">
        <v>90</v>
      </c>
      <c r="Y3" s="24">
        <v>104</v>
      </c>
      <c r="Z3" s="24">
        <v>50</v>
      </c>
      <c r="AA3" s="24">
        <v>85</v>
      </c>
      <c r="AB3" s="24">
        <v>28</v>
      </c>
      <c r="AC3" s="24">
        <v>30</v>
      </c>
      <c r="AD3" s="24">
        <v>34</v>
      </c>
    </row>
    <row r="4" spans="1:30" x14ac:dyDescent="0.25">
      <c r="A4">
        <v>2005</v>
      </c>
      <c r="B4" s="24">
        <v>54</v>
      </c>
      <c r="C4" s="24">
        <v>47</v>
      </c>
      <c r="D4" s="24">
        <v>127</v>
      </c>
      <c r="E4" s="24">
        <v>40</v>
      </c>
      <c r="F4" s="24">
        <v>104</v>
      </c>
      <c r="G4" s="24">
        <v>46</v>
      </c>
      <c r="H4" s="24">
        <v>80</v>
      </c>
      <c r="I4" s="24">
        <v>103</v>
      </c>
      <c r="J4" s="24">
        <v>119</v>
      </c>
      <c r="K4" s="24">
        <v>57</v>
      </c>
      <c r="L4" s="24">
        <v>48</v>
      </c>
      <c r="M4" s="24">
        <v>57</v>
      </c>
      <c r="N4" s="24">
        <v>25</v>
      </c>
      <c r="O4" s="24">
        <v>67</v>
      </c>
      <c r="P4" s="24">
        <v>111</v>
      </c>
      <c r="Q4" s="24">
        <v>64</v>
      </c>
      <c r="R4" s="24">
        <v>77</v>
      </c>
      <c r="S4" s="24">
        <v>77</v>
      </c>
      <c r="T4" s="24">
        <v>70</v>
      </c>
      <c r="U4" s="24">
        <v>86</v>
      </c>
      <c r="V4" s="24">
        <v>33</v>
      </c>
      <c r="W4" s="24">
        <v>43</v>
      </c>
      <c r="X4" s="24">
        <v>80</v>
      </c>
      <c r="Y4" s="24">
        <v>99</v>
      </c>
      <c r="Z4" s="24">
        <v>59</v>
      </c>
      <c r="AA4" s="24">
        <v>89</v>
      </c>
      <c r="AB4" s="24">
        <v>38</v>
      </c>
      <c r="AC4" s="24">
        <v>42</v>
      </c>
      <c r="AD4" s="24">
        <v>39</v>
      </c>
    </row>
    <row r="5" spans="1:30" x14ac:dyDescent="0.25">
      <c r="A5">
        <v>2006</v>
      </c>
      <c r="B5" s="24">
        <v>49</v>
      </c>
      <c r="C5" s="24">
        <v>54</v>
      </c>
      <c r="D5" s="24">
        <v>133</v>
      </c>
      <c r="E5" s="24">
        <v>46</v>
      </c>
      <c r="F5" s="24">
        <v>109</v>
      </c>
      <c r="G5" s="24">
        <v>47</v>
      </c>
      <c r="H5" s="24">
        <v>77</v>
      </c>
      <c r="I5" s="24">
        <v>117</v>
      </c>
      <c r="J5" s="24">
        <v>112</v>
      </c>
      <c r="K5" s="24">
        <v>68</v>
      </c>
      <c r="L5" s="24">
        <v>44</v>
      </c>
      <c r="M5" s="24">
        <v>66</v>
      </c>
      <c r="N5" s="24">
        <v>32</v>
      </c>
      <c r="O5" s="24">
        <v>80</v>
      </c>
      <c r="P5" s="24">
        <v>113</v>
      </c>
      <c r="Q5" s="24">
        <v>82</v>
      </c>
      <c r="R5" s="24">
        <v>82</v>
      </c>
      <c r="S5" s="24">
        <v>73</v>
      </c>
      <c r="T5" s="24">
        <v>70</v>
      </c>
      <c r="U5" s="24">
        <v>87</v>
      </c>
      <c r="V5" s="24">
        <v>55</v>
      </c>
      <c r="W5" s="24">
        <v>56</v>
      </c>
      <c r="X5" s="24">
        <v>95</v>
      </c>
      <c r="Y5" s="24">
        <v>103</v>
      </c>
      <c r="Z5" s="24">
        <v>65</v>
      </c>
      <c r="AA5" s="24">
        <v>89</v>
      </c>
      <c r="AB5" s="24">
        <v>30</v>
      </c>
      <c r="AC5" s="24">
        <v>34</v>
      </c>
      <c r="AD5" s="24">
        <v>32</v>
      </c>
    </row>
    <row r="6" spans="1:30" x14ac:dyDescent="0.25">
      <c r="A6">
        <v>2007</v>
      </c>
      <c r="B6" s="24">
        <v>58</v>
      </c>
      <c r="C6" s="24">
        <v>62</v>
      </c>
      <c r="D6" s="24">
        <v>155</v>
      </c>
      <c r="E6" s="24">
        <v>79</v>
      </c>
      <c r="F6" s="24">
        <v>134</v>
      </c>
      <c r="G6" s="24">
        <v>68</v>
      </c>
      <c r="H6" s="24">
        <v>91</v>
      </c>
      <c r="I6" s="24">
        <v>131</v>
      </c>
      <c r="J6" s="24">
        <v>136</v>
      </c>
      <c r="K6" s="24">
        <v>87</v>
      </c>
      <c r="L6" s="24">
        <v>82</v>
      </c>
      <c r="M6" s="24">
        <v>73</v>
      </c>
      <c r="N6" s="24">
        <v>39</v>
      </c>
      <c r="O6" s="24">
        <v>92</v>
      </c>
      <c r="P6" s="24">
        <v>143</v>
      </c>
      <c r="Q6" s="24">
        <v>94</v>
      </c>
      <c r="R6" s="24">
        <v>104</v>
      </c>
      <c r="S6" s="24">
        <v>91</v>
      </c>
      <c r="T6" s="24">
        <v>74</v>
      </c>
      <c r="U6" s="24">
        <v>105</v>
      </c>
      <c r="V6" s="24">
        <v>64</v>
      </c>
      <c r="W6" s="24">
        <v>65</v>
      </c>
      <c r="X6" s="24">
        <v>119</v>
      </c>
      <c r="Y6" s="24">
        <v>133</v>
      </c>
      <c r="Z6" s="24">
        <v>65</v>
      </c>
      <c r="AA6" s="24">
        <v>109</v>
      </c>
      <c r="AB6" s="24">
        <v>40</v>
      </c>
      <c r="AC6" s="24">
        <v>59</v>
      </c>
      <c r="AD6" s="24">
        <v>54</v>
      </c>
    </row>
    <row r="7" spans="1:30" x14ac:dyDescent="0.25">
      <c r="A7">
        <v>2008</v>
      </c>
      <c r="B7" s="24">
        <v>56</v>
      </c>
      <c r="C7" s="24">
        <v>58</v>
      </c>
      <c r="D7" s="24">
        <v>159</v>
      </c>
      <c r="E7" s="24">
        <v>59</v>
      </c>
      <c r="F7" s="24">
        <v>127</v>
      </c>
      <c r="G7" s="24">
        <v>48</v>
      </c>
      <c r="H7" s="24">
        <v>77</v>
      </c>
      <c r="I7" s="24">
        <v>123</v>
      </c>
      <c r="J7" s="24">
        <v>126</v>
      </c>
      <c r="K7" s="24">
        <v>76</v>
      </c>
      <c r="L7" s="24">
        <v>62</v>
      </c>
      <c r="M7" s="24">
        <v>63</v>
      </c>
      <c r="N7" s="24">
        <v>21</v>
      </c>
      <c r="O7" s="24">
        <v>64</v>
      </c>
      <c r="P7" s="24">
        <v>128</v>
      </c>
      <c r="Q7" s="24">
        <v>86</v>
      </c>
      <c r="R7" s="24">
        <v>88</v>
      </c>
      <c r="S7" s="24">
        <v>80</v>
      </c>
      <c r="T7" s="24">
        <v>66</v>
      </c>
      <c r="U7" s="24">
        <v>93</v>
      </c>
      <c r="V7" s="24">
        <v>47</v>
      </c>
      <c r="W7" s="24">
        <v>70</v>
      </c>
      <c r="X7" s="24">
        <v>103</v>
      </c>
      <c r="Y7" s="24">
        <v>112</v>
      </c>
      <c r="Z7" s="24">
        <v>59</v>
      </c>
      <c r="AA7" s="24">
        <v>107</v>
      </c>
      <c r="AB7" s="24">
        <v>35</v>
      </c>
      <c r="AC7" s="24">
        <v>52</v>
      </c>
      <c r="AD7" s="24">
        <v>29</v>
      </c>
    </row>
    <row r="8" spans="1:30" x14ac:dyDescent="0.25">
      <c r="A8">
        <v>2009</v>
      </c>
      <c r="B8" s="24">
        <v>50</v>
      </c>
      <c r="C8" s="24">
        <v>49</v>
      </c>
      <c r="D8" s="24">
        <v>120</v>
      </c>
      <c r="E8" s="24">
        <v>47</v>
      </c>
      <c r="F8" s="24">
        <v>115</v>
      </c>
      <c r="G8" s="24">
        <v>54</v>
      </c>
      <c r="H8" s="24">
        <v>66</v>
      </c>
      <c r="I8" s="24">
        <v>114</v>
      </c>
      <c r="J8" s="24">
        <v>101</v>
      </c>
      <c r="K8" s="24">
        <v>59</v>
      </c>
      <c r="L8" s="24">
        <v>46</v>
      </c>
      <c r="M8" s="24">
        <v>58</v>
      </c>
      <c r="N8" s="24">
        <v>22</v>
      </c>
      <c r="O8" s="24">
        <v>68</v>
      </c>
      <c r="P8" s="24">
        <v>115</v>
      </c>
      <c r="Q8" s="24">
        <v>69</v>
      </c>
      <c r="R8" s="24">
        <v>80</v>
      </c>
      <c r="S8" s="24">
        <v>71</v>
      </c>
      <c r="T8" s="24">
        <v>59</v>
      </c>
      <c r="U8" s="24">
        <v>78</v>
      </c>
      <c r="V8" s="24">
        <v>43</v>
      </c>
      <c r="W8" s="24">
        <v>51</v>
      </c>
      <c r="X8" s="24">
        <v>90</v>
      </c>
      <c r="Y8" s="24">
        <v>109</v>
      </c>
      <c r="Z8" s="24">
        <v>60</v>
      </c>
      <c r="AA8" s="24">
        <v>103</v>
      </c>
      <c r="AB8" s="24">
        <v>26</v>
      </c>
      <c r="AC8" s="24">
        <v>47</v>
      </c>
      <c r="AD8" s="24">
        <v>26</v>
      </c>
    </row>
    <row r="9" spans="1:30" x14ac:dyDescent="0.25">
      <c r="A9">
        <v>2010</v>
      </c>
      <c r="B9" s="24">
        <v>47</v>
      </c>
      <c r="C9" s="24">
        <v>37</v>
      </c>
      <c r="D9" s="24">
        <v>113</v>
      </c>
      <c r="E9" s="24">
        <v>36</v>
      </c>
      <c r="F9" s="24">
        <v>104</v>
      </c>
      <c r="G9" s="24">
        <v>47</v>
      </c>
      <c r="H9" s="24">
        <v>59</v>
      </c>
      <c r="I9" s="24">
        <v>100</v>
      </c>
      <c r="J9" s="24">
        <v>98</v>
      </c>
      <c r="K9" s="24">
        <v>57</v>
      </c>
      <c r="L9" s="24">
        <v>55</v>
      </c>
      <c r="M9" s="24">
        <v>46</v>
      </c>
      <c r="N9" s="24">
        <v>27</v>
      </c>
      <c r="O9" s="24">
        <v>54</v>
      </c>
      <c r="P9" s="24">
        <v>115</v>
      </c>
      <c r="Q9" s="24">
        <v>59</v>
      </c>
      <c r="R9" s="24">
        <v>67</v>
      </c>
      <c r="S9" s="24">
        <v>64</v>
      </c>
      <c r="T9" s="24">
        <v>60</v>
      </c>
      <c r="U9" s="24">
        <v>76</v>
      </c>
      <c r="V9" s="24">
        <v>31</v>
      </c>
      <c r="W9" s="24">
        <v>36</v>
      </c>
      <c r="X9" s="24">
        <v>83</v>
      </c>
      <c r="Y9" s="24">
        <v>88</v>
      </c>
      <c r="Z9" s="24">
        <v>54</v>
      </c>
      <c r="AA9" s="24">
        <v>86</v>
      </c>
      <c r="AB9" s="24">
        <v>27</v>
      </c>
      <c r="AC9" s="24">
        <v>32</v>
      </c>
      <c r="AD9" s="24">
        <v>20</v>
      </c>
    </row>
    <row r="10" spans="1:30" x14ac:dyDescent="0.25">
      <c r="A10">
        <v>2011</v>
      </c>
      <c r="B10" s="24">
        <v>75</v>
      </c>
      <c r="C10" s="24">
        <v>72</v>
      </c>
      <c r="D10" s="24">
        <v>164</v>
      </c>
      <c r="E10" s="24">
        <v>70</v>
      </c>
      <c r="F10" s="24">
        <v>158</v>
      </c>
      <c r="G10" s="24">
        <v>74</v>
      </c>
      <c r="H10" s="24">
        <v>105</v>
      </c>
      <c r="I10" s="24">
        <v>151</v>
      </c>
      <c r="J10" s="24">
        <v>143</v>
      </c>
      <c r="K10" s="24">
        <v>106</v>
      </c>
      <c r="L10" s="24">
        <v>87</v>
      </c>
      <c r="M10" s="24">
        <v>84</v>
      </c>
      <c r="N10" s="24">
        <v>65</v>
      </c>
      <c r="O10" s="24">
        <v>117</v>
      </c>
      <c r="P10" s="24">
        <v>157</v>
      </c>
      <c r="Q10" s="24">
        <v>117</v>
      </c>
      <c r="R10" s="24">
        <v>117</v>
      </c>
      <c r="S10" s="24">
        <v>111</v>
      </c>
      <c r="T10" s="24">
        <v>102</v>
      </c>
      <c r="U10" s="24">
        <v>117</v>
      </c>
      <c r="V10" s="24">
        <v>58</v>
      </c>
      <c r="W10" s="24">
        <v>73</v>
      </c>
      <c r="X10" s="24">
        <v>140</v>
      </c>
      <c r="Y10" s="24">
        <v>145</v>
      </c>
      <c r="Z10" s="24">
        <v>73</v>
      </c>
      <c r="AA10" s="24">
        <v>140</v>
      </c>
      <c r="AB10" s="24">
        <v>62</v>
      </c>
      <c r="AC10" s="24">
        <v>68</v>
      </c>
      <c r="AD10" s="24">
        <v>49</v>
      </c>
    </row>
    <row r="11" spans="1:30" x14ac:dyDescent="0.25">
      <c r="A11">
        <v>2012</v>
      </c>
      <c r="B11" s="24">
        <v>66</v>
      </c>
      <c r="C11" s="24">
        <v>69</v>
      </c>
      <c r="D11" s="24">
        <v>162</v>
      </c>
      <c r="E11" s="24">
        <v>83</v>
      </c>
      <c r="F11" s="24">
        <v>141</v>
      </c>
      <c r="G11" s="24">
        <v>64</v>
      </c>
      <c r="H11" s="24">
        <v>94</v>
      </c>
      <c r="I11" s="24">
        <v>143</v>
      </c>
      <c r="J11" s="24">
        <v>140</v>
      </c>
      <c r="K11" s="24">
        <v>92</v>
      </c>
      <c r="L11" s="24">
        <v>90</v>
      </c>
      <c r="M11" s="24">
        <v>88</v>
      </c>
      <c r="N11" s="24">
        <v>55</v>
      </c>
      <c r="O11" s="24">
        <v>105</v>
      </c>
      <c r="P11" s="24">
        <v>151</v>
      </c>
      <c r="Q11" s="24" t="s">
        <v>63</v>
      </c>
      <c r="R11" s="24">
        <v>108</v>
      </c>
      <c r="S11" s="24">
        <v>90</v>
      </c>
      <c r="T11" s="24">
        <v>86</v>
      </c>
      <c r="U11" s="24">
        <v>101</v>
      </c>
      <c r="V11" s="24">
        <v>57</v>
      </c>
      <c r="W11" s="24">
        <v>76</v>
      </c>
      <c r="X11" s="24">
        <v>124</v>
      </c>
      <c r="Y11" s="24">
        <v>129</v>
      </c>
      <c r="Z11" s="24">
        <v>78</v>
      </c>
      <c r="AA11" s="24">
        <v>119</v>
      </c>
      <c r="AB11" s="24">
        <v>76</v>
      </c>
      <c r="AC11" s="24">
        <v>64</v>
      </c>
      <c r="AD11" s="24">
        <v>43</v>
      </c>
    </row>
    <row r="12" spans="1:30" x14ac:dyDescent="0.25">
      <c r="A12">
        <v>2013</v>
      </c>
      <c r="B12" s="24">
        <v>55</v>
      </c>
      <c r="C12" s="24">
        <v>57</v>
      </c>
      <c r="D12" s="24">
        <v>136</v>
      </c>
      <c r="E12" s="24">
        <v>48</v>
      </c>
      <c r="F12" s="24">
        <v>121</v>
      </c>
      <c r="G12" s="24">
        <v>43</v>
      </c>
      <c r="H12" s="24">
        <v>80</v>
      </c>
      <c r="I12" s="24">
        <v>111</v>
      </c>
      <c r="J12" s="24">
        <v>100</v>
      </c>
      <c r="K12" s="24">
        <v>74</v>
      </c>
      <c r="L12" s="24">
        <v>55</v>
      </c>
      <c r="M12" s="24">
        <v>66</v>
      </c>
      <c r="N12" s="24">
        <v>38</v>
      </c>
      <c r="O12" s="24">
        <v>66</v>
      </c>
      <c r="P12" s="24">
        <v>133</v>
      </c>
      <c r="Q12" s="24" t="s">
        <v>63</v>
      </c>
      <c r="R12" s="24">
        <v>76</v>
      </c>
      <c r="S12" s="24">
        <v>68</v>
      </c>
      <c r="T12" s="24">
        <v>56</v>
      </c>
      <c r="U12" s="24">
        <v>80</v>
      </c>
      <c r="V12" s="24">
        <v>45</v>
      </c>
      <c r="W12" s="24">
        <v>54</v>
      </c>
      <c r="X12" s="24">
        <v>101</v>
      </c>
      <c r="Y12" s="24">
        <v>116</v>
      </c>
      <c r="Z12" s="24">
        <v>54</v>
      </c>
      <c r="AA12" s="24">
        <v>93</v>
      </c>
      <c r="AB12" s="24">
        <v>58</v>
      </c>
      <c r="AC12" s="24">
        <v>46</v>
      </c>
      <c r="AD12" s="24">
        <v>43</v>
      </c>
    </row>
    <row r="13" spans="1:30" x14ac:dyDescent="0.25">
      <c r="A13">
        <v>2014</v>
      </c>
      <c r="B13" s="24">
        <v>34</v>
      </c>
      <c r="C13" s="24">
        <v>38</v>
      </c>
      <c r="D13" s="24">
        <v>110</v>
      </c>
      <c r="E13" s="24">
        <v>28</v>
      </c>
      <c r="F13" s="24">
        <v>91</v>
      </c>
      <c r="G13" s="24">
        <v>34</v>
      </c>
      <c r="H13" s="24">
        <v>49</v>
      </c>
      <c r="I13" s="24">
        <v>81</v>
      </c>
      <c r="J13" s="24">
        <v>73</v>
      </c>
      <c r="K13" s="24">
        <v>45</v>
      </c>
      <c r="L13" s="24">
        <v>38</v>
      </c>
      <c r="M13" s="24">
        <v>53</v>
      </c>
      <c r="N13" s="24">
        <v>24</v>
      </c>
      <c r="O13" s="24">
        <v>44</v>
      </c>
      <c r="P13" s="24">
        <v>99</v>
      </c>
      <c r="Q13" s="24">
        <v>64</v>
      </c>
      <c r="R13" s="24">
        <v>42</v>
      </c>
      <c r="S13" s="24">
        <v>57</v>
      </c>
      <c r="T13" s="24">
        <v>32</v>
      </c>
      <c r="U13" s="24">
        <v>58</v>
      </c>
      <c r="V13" s="24">
        <v>21</v>
      </c>
      <c r="W13" s="24">
        <v>40</v>
      </c>
      <c r="X13" s="24">
        <v>71</v>
      </c>
      <c r="Y13" s="24">
        <v>77</v>
      </c>
      <c r="Z13" s="24">
        <v>37</v>
      </c>
      <c r="AA13" s="24">
        <v>65</v>
      </c>
      <c r="AB13" s="24">
        <v>36</v>
      </c>
      <c r="AC13" s="24">
        <v>31</v>
      </c>
      <c r="AD13" s="24">
        <v>19</v>
      </c>
    </row>
    <row r="14" spans="1:30" x14ac:dyDescent="0.25">
      <c r="A14">
        <v>2015</v>
      </c>
      <c r="B14" s="24">
        <v>68</v>
      </c>
      <c r="C14" s="24">
        <v>62</v>
      </c>
      <c r="D14" s="24">
        <v>153</v>
      </c>
      <c r="E14" s="24">
        <v>47</v>
      </c>
      <c r="F14" s="24">
        <v>104</v>
      </c>
      <c r="G14" s="24">
        <v>55</v>
      </c>
      <c r="H14" s="24">
        <v>85</v>
      </c>
      <c r="I14" s="24">
        <v>114</v>
      </c>
      <c r="J14" s="24">
        <v>97</v>
      </c>
      <c r="K14" s="24">
        <v>80</v>
      </c>
      <c r="L14" s="24">
        <v>75</v>
      </c>
      <c r="M14" s="24">
        <v>79</v>
      </c>
      <c r="N14" s="24">
        <v>42</v>
      </c>
      <c r="O14" s="24">
        <v>78</v>
      </c>
      <c r="P14" s="24">
        <v>139</v>
      </c>
      <c r="Q14" s="24">
        <v>109</v>
      </c>
      <c r="R14" s="24">
        <v>78</v>
      </c>
      <c r="S14" s="24">
        <v>89</v>
      </c>
      <c r="T14" s="24">
        <v>69</v>
      </c>
      <c r="U14" s="24">
        <v>98</v>
      </c>
      <c r="V14" s="24">
        <v>56</v>
      </c>
      <c r="W14" s="24">
        <v>59</v>
      </c>
      <c r="X14" s="24">
        <v>96</v>
      </c>
      <c r="Y14" s="24">
        <v>109</v>
      </c>
      <c r="Z14" s="24">
        <v>71</v>
      </c>
      <c r="AA14" s="24">
        <v>104</v>
      </c>
      <c r="AB14" s="24">
        <v>75</v>
      </c>
      <c r="AC14" s="24">
        <v>59</v>
      </c>
      <c r="AD14" s="24">
        <v>30</v>
      </c>
    </row>
    <row r="15" spans="1:30" x14ac:dyDescent="0.25">
      <c r="A15">
        <v>2016</v>
      </c>
      <c r="B15" s="24">
        <v>49</v>
      </c>
      <c r="C15" s="24">
        <v>55</v>
      </c>
      <c r="D15" s="24">
        <v>139</v>
      </c>
      <c r="E15" s="24">
        <v>42</v>
      </c>
      <c r="F15" s="24">
        <v>111</v>
      </c>
      <c r="G15" s="24">
        <v>47</v>
      </c>
      <c r="H15" s="24">
        <v>63</v>
      </c>
      <c r="I15" s="24">
        <v>115</v>
      </c>
      <c r="J15" s="24">
        <v>96</v>
      </c>
      <c r="K15" s="24">
        <v>64</v>
      </c>
      <c r="L15" s="24">
        <v>61</v>
      </c>
      <c r="M15" s="24">
        <v>53</v>
      </c>
      <c r="N15" s="24">
        <v>24</v>
      </c>
      <c r="O15" s="24">
        <v>63</v>
      </c>
      <c r="P15" s="24">
        <v>114</v>
      </c>
      <c r="Q15" s="24">
        <v>84</v>
      </c>
      <c r="R15" s="24">
        <v>61</v>
      </c>
      <c r="S15" s="24">
        <v>62</v>
      </c>
      <c r="T15" s="24">
        <v>48</v>
      </c>
      <c r="U15" s="24">
        <v>73</v>
      </c>
      <c r="V15" s="24">
        <v>34</v>
      </c>
      <c r="W15" s="24">
        <v>48</v>
      </c>
      <c r="X15" s="24">
        <v>88</v>
      </c>
      <c r="Y15" s="24">
        <v>103</v>
      </c>
      <c r="Z15" s="24">
        <v>38</v>
      </c>
      <c r="AA15" s="24">
        <v>90</v>
      </c>
      <c r="AB15" s="24">
        <v>52</v>
      </c>
      <c r="AC15" s="24">
        <v>41</v>
      </c>
      <c r="AD15" s="24">
        <v>15</v>
      </c>
    </row>
    <row r="16" spans="1:30" x14ac:dyDescent="0.25">
      <c r="A16">
        <v>2017</v>
      </c>
      <c r="B16" s="24">
        <v>58</v>
      </c>
      <c r="C16" s="24">
        <v>65</v>
      </c>
      <c r="D16" s="24">
        <v>145</v>
      </c>
      <c r="E16" s="24">
        <v>58</v>
      </c>
      <c r="F16" s="24">
        <v>127</v>
      </c>
      <c r="G16" s="24">
        <v>42</v>
      </c>
      <c r="H16" s="24">
        <v>75</v>
      </c>
      <c r="I16" s="24">
        <v>147</v>
      </c>
      <c r="J16" s="24">
        <v>122</v>
      </c>
      <c r="K16" s="24">
        <v>89</v>
      </c>
      <c r="L16" s="24">
        <v>81</v>
      </c>
      <c r="M16" s="24">
        <v>81</v>
      </c>
      <c r="N16" s="24">
        <v>45</v>
      </c>
      <c r="O16" s="24">
        <v>85</v>
      </c>
      <c r="P16" s="24">
        <v>145</v>
      </c>
      <c r="Q16" s="24">
        <v>98</v>
      </c>
      <c r="R16" s="24">
        <v>77</v>
      </c>
      <c r="S16" s="24">
        <v>78</v>
      </c>
      <c r="T16" s="24">
        <v>66</v>
      </c>
      <c r="U16" s="24">
        <v>92</v>
      </c>
      <c r="V16" s="24">
        <v>41</v>
      </c>
      <c r="W16" s="24">
        <v>58</v>
      </c>
      <c r="X16" s="24">
        <v>107</v>
      </c>
      <c r="Y16" s="24">
        <v>123</v>
      </c>
      <c r="Z16" s="24">
        <v>49</v>
      </c>
      <c r="AA16" s="24">
        <v>122</v>
      </c>
      <c r="AB16" s="24">
        <v>59</v>
      </c>
      <c r="AC16" s="24">
        <v>49</v>
      </c>
      <c r="AD16" s="24">
        <v>39</v>
      </c>
    </row>
    <row r="17" spans="1:30" s="26" customFormat="1" x14ac:dyDescent="0.25">
      <c r="A17" s="26" t="s">
        <v>60</v>
      </c>
      <c r="B17" s="27">
        <f t="shared" ref="B17:AD17" si="0">AVERAGE(B3:B16)</f>
        <v>54.285714285714285</v>
      </c>
      <c r="C17" s="27">
        <f t="shared" si="0"/>
        <v>54.571428571428569</v>
      </c>
      <c r="D17" s="27">
        <f t="shared" si="0"/>
        <v>139.14285714285714</v>
      </c>
      <c r="E17" s="27">
        <f t="shared" si="0"/>
        <v>52.571428571428569</v>
      </c>
      <c r="F17" s="27">
        <f t="shared" si="0"/>
        <v>117.71428571428571</v>
      </c>
      <c r="G17" s="27">
        <f t="shared" si="0"/>
        <v>50.857142857142854</v>
      </c>
      <c r="H17" s="27">
        <f t="shared" si="0"/>
        <v>76.928571428571431</v>
      </c>
      <c r="I17" s="27">
        <f t="shared" si="0"/>
        <v>119.5</v>
      </c>
      <c r="J17" s="27">
        <f t="shared" si="0"/>
        <v>113.14285714285714</v>
      </c>
      <c r="K17" s="27">
        <f t="shared" si="0"/>
        <v>72.142857142857139</v>
      </c>
      <c r="L17" s="27">
        <f t="shared" si="0"/>
        <v>62.285714285714285</v>
      </c>
      <c r="M17" s="27">
        <f t="shared" si="0"/>
        <v>65.214285714285708</v>
      </c>
      <c r="N17" s="27">
        <f t="shared" si="0"/>
        <v>33.714285714285715</v>
      </c>
      <c r="O17" s="27">
        <f t="shared" si="0"/>
        <v>73.928571428571431</v>
      </c>
      <c r="P17" s="27">
        <f t="shared" si="0"/>
        <v>126.5</v>
      </c>
      <c r="Q17" s="27">
        <f t="shared" si="0"/>
        <v>81.75</v>
      </c>
      <c r="R17" s="27">
        <f t="shared" si="0"/>
        <v>80.071428571428569</v>
      </c>
      <c r="S17" s="27">
        <f t="shared" si="0"/>
        <v>77.214285714285708</v>
      </c>
      <c r="T17" s="27">
        <f t="shared" si="0"/>
        <v>65.428571428571431</v>
      </c>
      <c r="U17" s="27">
        <f t="shared" si="0"/>
        <v>88</v>
      </c>
      <c r="V17" s="27">
        <f t="shared" si="0"/>
        <v>44.214285714285715</v>
      </c>
      <c r="W17" s="27">
        <f t="shared" si="0"/>
        <v>54.857142857142854</v>
      </c>
      <c r="X17" s="27">
        <f t="shared" si="0"/>
        <v>99.071428571428569</v>
      </c>
      <c r="Y17" s="27">
        <f t="shared" si="0"/>
        <v>110.71428571428571</v>
      </c>
      <c r="Z17" s="27">
        <f t="shared" si="0"/>
        <v>58</v>
      </c>
      <c r="AA17" s="27">
        <f t="shared" si="0"/>
        <v>100.07142857142857</v>
      </c>
      <c r="AB17" s="27">
        <f t="shared" si="0"/>
        <v>45.857142857142854</v>
      </c>
      <c r="AC17" s="27">
        <f t="shared" si="0"/>
        <v>46.714285714285715</v>
      </c>
      <c r="AD17" s="27">
        <f t="shared" si="0"/>
        <v>33.714285714285715</v>
      </c>
    </row>
    <row r="18" spans="1:30" s="26" customFormat="1" x14ac:dyDescent="0.25">
      <c r="A18" s="26" t="s">
        <v>27</v>
      </c>
      <c r="B18" s="27">
        <f>_xlfn.STDEV.P(B3:B16)</f>
        <v>10.353940391592616</v>
      </c>
      <c r="C18" s="27">
        <f t="shared" ref="C18:D18" si="1">_xlfn.STDEV.P(C3:C16)</f>
        <v>10.900290203963023</v>
      </c>
      <c r="D18" s="27">
        <f t="shared" si="1"/>
        <v>17.233095828571681</v>
      </c>
      <c r="E18" s="27">
        <f t="shared" ref="E18:AD18" si="2">_xlfn.STDEV.P(E3:E16)</f>
        <v>15.291053807066806</v>
      </c>
      <c r="F18" s="27">
        <f t="shared" si="2"/>
        <v>17.457820889334432</v>
      </c>
      <c r="G18" s="27">
        <f t="shared" si="2"/>
        <v>10.662733118249767</v>
      </c>
      <c r="H18" s="27">
        <f t="shared" si="2"/>
        <v>14.093890701365639</v>
      </c>
      <c r="I18" s="27">
        <f t="shared" si="2"/>
        <v>18.42261808600659</v>
      </c>
      <c r="J18" s="27">
        <f t="shared" si="2"/>
        <v>19.257121661709402</v>
      </c>
      <c r="K18" s="27">
        <f t="shared" si="2"/>
        <v>16.556643650800478</v>
      </c>
      <c r="L18" s="27">
        <f t="shared" si="2"/>
        <v>16.871059630658191</v>
      </c>
      <c r="M18" s="27">
        <f t="shared" si="2"/>
        <v>13.45457209293858</v>
      </c>
      <c r="N18" s="27">
        <f t="shared" si="2"/>
        <v>13.925457527382674</v>
      </c>
      <c r="O18" s="27">
        <f t="shared" si="2"/>
        <v>19.75009687395513</v>
      </c>
      <c r="P18" s="27">
        <f t="shared" si="2"/>
        <v>17.5</v>
      </c>
      <c r="Q18" s="27">
        <f t="shared" si="2"/>
        <v>19.253246479490155</v>
      </c>
      <c r="R18" s="27">
        <f t="shared" si="2"/>
        <v>19.020531334452723</v>
      </c>
      <c r="S18" s="27">
        <f t="shared" si="2"/>
        <v>13.759041554185229</v>
      </c>
      <c r="T18" s="27">
        <f t="shared" si="2"/>
        <v>15.868721641348817</v>
      </c>
      <c r="U18" s="27">
        <f t="shared" si="2"/>
        <v>14.337762327902796</v>
      </c>
      <c r="V18" s="27">
        <f t="shared" si="2"/>
        <v>12.154826034064303</v>
      </c>
      <c r="W18" s="27">
        <f t="shared" si="2"/>
        <v>12.443340977963979</v>
      </c>
      <c r="X18" s="27">
        <f t="shared" si="2"/>
        <v>17.926294676154537</v>
      </c>
      <c r="Y18" s="27">
        <f t="shared" si="2"/>
        <v>17.210580514109715</v>
      </c>
      <c r="Z18" s="27">
        <f t="shared" si="2"/>
        <v>11.698595764327566</v>
      </c>
      <c r="AA18" s="27">
        <f t="shared" si="2"/>
        <v>18.199153377931331</v>
      </c>
      <c r="AB18" s="27">
        <f t="shared" si="2"/>
        <v>16.919376646982268</v>
      </c>
      <c r="AC18" s="27">
        <f t="shared" si="2"/>
        <v>12.091487982570758</v>
      </c>
      <c r="AD18" s="27">
        <f t="shared" si="2"/>
        <v>11.106166700329606</v>
      </c>
    </row>
    <row r="20" spans="1:30" x14ac:dyDescent="0.25">
      <c r="A20" t="s">
        <v>82</v>
      </c>
    </row>
    <row r="21" spans="1:30" x14ac:dyDescent="0.25">
      <c r="B21" t="s">
        <v>0</v>
      </c>
      <c r="C21" t="s">
        <v>30</v>
      </c>
      <c r="D21" t="s">
        <v>28</v>
      </c>
      <c r="E21" t="s">
        <v>31</v>
      </c>
      <c r="F21" t="s">
        <v>32</v>
      </c>
      <c r="G21" t="s">
        <v>33</v>
      </c>
      <c r="H21" t="s">
        <v>34</v>
      </c>
      <c r="I21" t="s">
        <v>35</v>
      </c>
      <c r="J21" t="s">
        <v>36</v>
      </c>
      <c r="K21" t="s">
        <v>55</v>
      </c>
      <c r="L21" t="s">
        <v>37</v>
      </c>
      <c r="M21" t="s">
        <v>38</v>
      </c>
      <c r="N21" t="s">
        <v>39</v>
      </c>
      <c r="O21" t="s">
        <v>40</v>
      </c>
      <c r="P21" t="s">
        <v>41</v>
      </c>
      <c r="Q21" t="s">
        <v>42</v>
      </c>
      <c r="R21" t="s">
        <v>43</v>
      </c>
      <c r="S21" t="s">
        <v>44</v>
      </c>
      <c r="T21" t="s">
        <v>45</v>
      </c>
      <c r="U21" t="s">
        <v>46</v>
      </c>
      <c r="V21" t="s">
        <v>47</v>
      </c>
      <c r="W21" t="s">
        <v>58</v>
      </c>
      <c r="X21" t="s">
        <v>48</v>
      </c>
      <c r="Y21" t="s">
        <v>49</v>
      </c>
      <c r="Z21" t="s">
        <v>50</v>
      </c>
      <c r="AA21" t="s">
        <v>29</v>
      </c>
      <c r="AB21" t="s">
        <v>56</v>
      </c>
      <c r="AC21" t="s">
        <v>57</v>
      </c>
      <c r="AD21" t="s">
        <v>51</v>
      </c>
    </row>
    <row r="22" spans="1:30" x14ac:dyDescent="0.25">
      <c r="A22">
        <v>2004</v>
      </c>
      <c r="B22" s="24">
        <v>123</v>
      </c>
      <c r="C22" s="24">
        <v>137</v>
      </c>
      <c r="D22" s="24">
        <v>72</v>
      </c>
      <c r="E22" s="24">
        <v>125</v>
      </c>
      <c r="F22" s="24">
        <v>80</v>
      </c>
      <c r="G22" s="24">
        <v>151</v>
      </c>
      <c r="H22" s="24">
        <v>112</v>
      </c>
      <c r="I22" s="24">
        <v>68</v>
      </c>
      <c r="J22" s="24">
        <v>79</v>
      </c>
      <c r="K22" s="24">
        <v>69</v>
      </c>
      <c r="L22" s="24">
        <v>157</v>
      </c>
      <c r="M22" s="24">
        <v>112</v>
      </c>
      <c r="N22" s="24">
        <v>185</v>
      </c>
      <c r="O22" s="24">
        <v>123</v>
      </c>
      <c r="P22" s="24">
        <v>84</v>
      </c>
      <c r="Q22" s="24">
        <v>113</v>
      </c>
      <c r="R22" s="24">
        <v>119</v>
      </c>
      <c r="S22" s="24">
        <v>97</v>
      </c>
      <c r="T22" s="24">
        <v>124</v>
      </c>
      <c r="U22" s="24">
        <v>106</v>
      </c>
      <c r="V22" s="24">
        <v>128</v>
      </c>
      <c r="W22" s="24">
        <v>127</v>
      </c>
      <c r="X22" s="24">
        <v>90</v>
      </c>
      <c r="Y22" s="24">
        <v>74</v>
      </c>
      <c r="Z22" s="24">
        <v>123</v>
      </c>
      <c r="AA22" s="24">
        <v>68</v>
      </c>
      <c r="AB22" s="24">
        <v>151</v>
      </c>
      <c r="AC22" s="24">
        <v>143</v>
      </c>
      <c r="AD22" s="24">
        <v>145</v>
      </c>
    </row>
    <row r="23" spans="1:30" x14ac:dyDescent="0.25">
      <c r="A23">
        <v>2005</v>
      </c>
      <c r="B23" s="24">
        <v>111</v>
      </c>
      <c r="C23" s="24">
        <v>126</v>
      </c>
      <c r="D23" s="24">
        <v>56</v>
      </c>
      <c r="E23" s="24">
        <v>112</v>
      </c>
      <c r="F23" s="24">
        <v>62</v>
      </c>
      <c r="G23" s="24">
        <v>139</v>
      </c>
      <c r="H23" s="24">
        <v>95</v>
      </c>
      <c r="I23" s="24">
        <v>58</v>
      </c>
      <c r="J23" s="24">
        <v>63</v>
      </c>
      <c r="K23" s="24">
        <v>62</v>
      </c>
      <c r="L23" s="24">
        <v>155</v>
      </c>
      <c r="M23" s="24">
        <v>99</v>
      </c>
      <c r="N23" s="24">
        <v>144</v>
      </c>
      <c r="O23" s="24">
        <v>107</v>
      </c>
      <c r="P23" s="24">
        <v>70</v>
      </c>
      <c r="Q23" s="24">
        <v>87</v>
      </c>
      <c r="R23" s="24">
        <v>112</v>
      </c>
      <c r="S23" s="24">
        <v>72</v>
      </c>
      <c r="T23" s="24">
        <v>112</v>
      </c>
      <c r="U23" s="24">
        <v>104</v>
      </c>
      <c r="V23" s="24">
        <v>123</v>
      </c>
      <c r="W23" s="24">
        <v>127</v>
      </c>
      <c r="X23" s="24">
        <v>82</v>
      </c>
      <c r="Y23" s="24">
        <v>61</v>
      </c>
      <c r="Z23" s="24">
        <v>114</v>
      </c>
      <c r="AA23" s="24">
        <v>59</v>
      </c>
      <c r="AB23" s="24">
        <v>131</v>
      </c>
      <c r="AC23" s="24">
        <v>127</v>
      </c>
      <c r="AD23" s="24">
        <v>133</v>
      </c>
    </row>
    <row r="24" spans="1:30" x14ac:dyDescent="0.25">
      <c r="A24">
        <v>2006</v>
      </c>
      <c r="B24" s="24">
        <v>107</v>
      </c>
      <c r="C24" s="24">
        <v>119</v>
      </c>
      <c r="D24" s="24">
        <v>55</v>
      </c>
      <c r="E24" s="24">
        <v>102</v>
      </c>
      <c r="F24" s="24">
        <v>56</v>
      </c>
      <c r="G24" s="24">
        <v>122</v>
      </c>
      <c r="H24" s="24">
        <v>81</v>
      </c>
      <c r="I24" s="24">
        <v>51</v>
      </c>
      <c r="J24" s="24">
        <v>67</v>
      </c>
      <c r="K24" s="24">
        <v>57</v>
      </c>
      <c r="L24" s="24">
        <v>132</v>
      </c>
      <c r="M24" s="24">
        <v>93</v>
      </c>
      <c r="N24" s="24">
        <v>143</v>
      </c>
      <c r="O24" s="24">
        <v>107</v>
      </c>
      <c r="P24" s="24">
        <v>78</v>
      </c>
      <c r="Q24" s="24">
        <v>82</v>
      </c>
      <c r="R24" s="24">
        <v>93</v>
      </c>
      <c r="S24" s="24">
        <v>80</v>
      </c>
      <c r="T24" s="24">
        <v>119</v>
      </c>
      <c r="U24" s="24">
        <v>104</v>
      </c>
      <c r="V24" s="24">
        <v>107</v>
      </c>
      <c r="W24" s="24">
        <v>118</v>
      </c>
      <c r="X24" s="24">
        <v>68</v>
      </c>
      <c r="Y24" s="24">
        <v>53</v>
      </c>
      <c r="Z24" s="24">
        <v>110</v>
      </c>
      <c r="AA24" s="24">
        <v>56</v>
      </c>
      <c r="AB24" s="24">
        <v>117</v>
      </c>
      <c r="AC24" s="24">
        <v>114</v>
      </c>
      <c r="AD24" s="24">
        <v>129</v>
      </c>
    </row>
    <row r="25" spans="1:30" x14ac:dyDescent="0.25">
      <c r="A25">
        <v>2007</v>
      </c>
      <c r="B25" s="24">
        <v>107</v>
      </c>
      <c r="C25" s="24">
        <v>109</v>
      </c>
      <c r="D25" s="24">
        <v>58</v>
      </c>
      <c r="E25" s="24">
        <v>107</v>
      </c>
      <c r="F25" s="24">
        <v>63</v>
      </c>
      <c r="G25" s="24">
        <v>135</v>
      </c>
      <c r="H25" s="24">
        <v>78</v>
      </c>
      <c r="I25" s="24">
        <v>57</v>
      </c>
      <c r="J25" s="24">
        <v>67</v>
      </c>
      <c r="K25" s="24">
        <v>50</v>
      </c>
      <c r="L25" s="24">
        <v>144</v>
      </c>
      <c r="M25" s="24">
        <v>89</v>
      </c>
      <c r="N25" s="24">
        <v>140</v>
      </c>
      <c r="O25" s="24">
        <v>91</v>
      </c>
      <c r="P25" s="24">
        <v>70</v>
      </c>
      <c r="Q25" s="24">
        <v>75</v>
      </c>
      <c r="R25" s="24">
        <v>92</v>
      </c>
      <c r="S25" s="24">
        <v>72</v>
      </c>
      <c r="T25" s="24">
        <v>98</v>
      </c>
      <c r="U25" s="24">
        <v>88</v>
      </c>
      <c r="V25" s="24">
        <v>113</v>
      </c>
      <c r="W25" s="24">
        <v>121</v>
      </c>
      <c r="X25" s="24">
        <v>73</v>
      </c>
      <c r="Y25" s="24">
        <v>56</v>
      </c>
      <c r="Z25" s="24">
        <v>92</v>
      </c>
      <c r="AA25" s="24">
        <v>42</v>
      </c>
      <c r="AB25" s="24">
        <v>113</v>
      </c>
      <c r="AC25" s="24">
        <v>108</v>
      </c>
      <c r="AD25" s="24">
        <v>123</v>
      </c>
    </row>
    <row r="26" spans="1:30" x14ac:dyDescent="0.25">
      <c r="A26">
        <v>2008</v>
      </c>
      <c r="B26" s="24">
        <v>105</v>
      </c>
      <c r="C26" s="24">
        <v>122</v>
      </c>
      <c r="D26" s="24">
        <v>57</v>
      </c>
      <c r="E26" s="24">
        <v>101</v>
      </c>
      <c r="F26" s="24">
        <v>69</v>
      </c>
      <c r="G26" s="24">
        <v>125</v>
      </c>
      <c r="H26" s="24">
        <v>75</v>
      </c>
      <c r="I26" s="24">
        <v>55</v>
      </c>
      <c r="J26" s="24">
        <v>69</v>
      </c>
      <c r="K26" s="24">
        <v>55</v>
      </c>
      <c r="L26" s="24">
        <v>140</v>
      </c>
      <c r="M26" s="24">
        <v>86</v>
      </c>
      <c r="N26" s="24">
        <v>160</v>
      </c>
      <c r="O26" s="24">
        <v>118</v>
      </c>
      <c r="P26" s="24">
        <v>73</v>
      </c>
      <c r="Q26" s="24">
        <v>91</v>
      </c>
      <c r="R26" s="24">
        <v>107</v>
      </c>
      <c r="S26" s="24">
        <v>83</v>
      </c>
      <c r="T26" s="24">
        <v>125</v>
      </c>
      <c r="U26" s="24">
        <v>114</v>
      </c>
      <c r="V26" s="24">
        <v>126</v>
      </c>
      <c r="W26" s="24">
        <v>116</v>
      </c>
      <c r="X26" s="24">
        <v>84</v>
      </c>
      <c r="Y26" s="24">
        <v>48</v>
      </c>
      <c r="Z26" s="24">
        <v>95</v>
      </c>
      <c r="AA26" s="24">
        <v>54</v>
      </c>
      <c r="AB26" s="24">
        <v>121</v>
      </c>
      <c r="AC26" s="24">
        <v>109</v>
      </c>
      <c r="AD26" s="24">
        <v>145</v>
      </c>
    </row>
    <row r="27" spans="1:30" x14ac:dyDescent="0.25">
      <c r="A27">
        <v>2009</v>
      </c>
      <c r="B27" s="24">
        <v>104</v>
      </c>
      <c r="C27" s="24">
        <v>122</v>
      </c>
      <c r="D27" s="24">
        <v>69</v>
      </c>
      <c r="E27" s="24">
        <v>120</v>
      </c>
      <c r="F27" s="24">
        <v>77</v>
      </c>
      <c r="G27" s="24">
        <v>124</v>
      </c>
      <c r="H27" s="24">
        <v>74</v>
      </c>
      <c r="I27" s="24">
        <v>76</v>
      </c>
      <c r="J27" s="24">
        <v>83</v>
      </c>
      <c r="K27" s="24">
        <v>51</v>
      </c>
      <c r="L27" s="24">
        <v>146</v>
      </c>
      <c r="M27" s="24">
        <v>108</v>
      </c>
      <c r="N27" s="24">
        <v>168</v>
      </c>
      <c r="O27" s="24">
        <v>101</v>
      </c>
      <c r="P27" s="24">
        <v>84</v>
      </c>
      <c r="Q27" s="24">
        <v>79</v>
      </c>
      <c r="R27" s="24">
        <v>105</v>
      </c>
      <c r="S27" s="24">
        <v>77</v>
      </c>
      <c r="T27" s="24">
        <v>117</v>
      </c>
      <c r="U27" s="24" t="s">
        <v>83</v>
      </c>
      <c r="V27" s="24">
        <v>118</v>
      </c>
      <c r="W27" s="24">
        <v>131</v>
      </c>
      <c r="X27" s="24">
        <v>87</v>
      </c>
      <c r="Y27" s="24">
        <v>56</v>
      </c>
      <c r="Z27" s="24">
        <v>111</v>
      </c>
      <c r="AA27" s="24">
        <v>58</v>
      </c>
      <c r="AB27" s="24">
        <v>130</v>
      </c>
      <c r="AC27" s="24">
        <v>122</v>
      </c>
      <c r="AD27" s="24">
        <v>157</v>
      </c>
    </row>
    <row r="28" spans="1:30" x14ac:dyDescent="0.25">
      <c r="A28">
        <v>2010</v>
      </c>
      <c r="B28" s="24">
        <v>138</v>
      </c>
      <c r="C28" s="24">
        <v>130</v>
      </c>
      <c r="D28" s="24">
        <v>78</v>
      </c>
      <c r="E28" s="24">
        <v>137</v>
      </c>
      <c r="F28" s="24">
        <v>87</v>
      </c>
      <c r="G28" s="24">
        <v>155</v>
      </c>
      <c r="H28" s="24">
        <v>98</v>
      </c>
      <c r="I28" s="24">
        <v>85</v>
      </c>
      <c r="J28" s="24">
        <v>100</v>
      </c>
      <c r="K28" s="24">
        <v>75</v>
      </c>
      <c r="L28" s="24">
        <v>157</v>
      </c>
      <c r="M28" s="24">
        <v>118</v>
      </c>
      <c r="N28" s="24">
        <v>181</v>
      </c>
      <c r="O28" s="24">
        <v>126</v>
      </c>
      <c r="P28" s="24">
        <v>99</v>
      </c>
      <c r="Q28" s="24">
        <v>108</v>
      </c>
      <c r="R28" s="24">
        <v>126</v>
      </c>
      <c r="S28" s="24">
        <v>93</v>
      </c>
      <c r="T28" s="24">
        <v>132</v>
      </c>
      <c r="U28" s="24">
        <v>122</v>
      </c>
      <c r="V28" s="24">
        <v>138</v>
      </c>
      <c r="W28" s="24">
        <v>142</v>
      </c>
      <c r="X28" s="24">
        <v>104</v>
      </c>
      <c r="Y28" s="24">
        <v>78</v>
      </c>
      <c r="Z28" s="24">
        <v>138</v>
      </c>
      <c r="AA28" s="24">
        <v>81</v>
      </c>
      <c r="AB28" s="24">
        <v>157</v>
      </c>
      <c r="AC28" s="24">
        <v>149</v>
      </c>
      <c r="AD28" s="24">
        <v>170</v>
      </c>
    </row>
    <row r="29" spans="1:30" x14ac:dyDescent="0.25">
      <c r="A29">
        <v>2011</v>
      </c>
      <c r="B29" s="24">
        <v>104</v>
      </c>
      <c r="C29" s="24">
        <v>98</v>
      </c>
      <c r="D29" s="24">
        <v>41</v>
      </c>
      <c r="E29" s="24">
        <v>103</v>
      </c>
      <c r="F29" s="24">
        <v>53</v>
      </c>
      <c r="G29" s="24">
        <v>116</v>
      </c>
      <c r="H29" s="24">
        <v>60</v>
      </c>
      <c r="I29" s="24">
        <v>52</v>
      </c>
      <c r="J29" s="24">
        <v>66</v>
      </c>
      <c r="K29" s="24">
        <v>40</v>
      </c>
      <c r="L29" s="24">
        <v>127</v>
      </c>
      <c r="M29" s="24">
        <v>95</v>
      </c>
      <c r="N29" s="24">
        <v>128</v>
      </c>
      <c r="O29" s="24">
        <v>84</v>
      </c>
      <c r="P29" s="24">
        <v>57</v>
      </c>
      <c r="Q29" s="24">
        <v>70</v>
      </c>
      <c r="R29" s="24">
        <v>78</v>
      </c>
      <c r="S29" s="24">
        <v>58</v>
      </c>
      <c r="T29" s="24">
        <v>89</v>
      </c>
      <c r="U29" s="24">
        <v>83</v>
      </c>
      <c r="V29" s="24">
        <v>124</v>
      </c>
      <c r="W29" s="24">
        <v>110</v>
      </c>
      <c r="X29" s="24">
        <v>58</v>
      </c>
      <c r="Y29" s="24">
        <v>40</v>
      </c>
      <c r="Z29" s="24">
        <v>100</v>
      </c>
      <c r="AA29" s="24">
        <v>39</v>
      </c>
      <c r="AB29" s="24">
        <v>127</v>
      </c>
      <c r="AC29" s="24">
        <v>112</v>
      </c>
      <c r="AD29" s="24">
        <v>112</v>
      </c>
    </row>
    <row r="30" spans="1:30" x14ac:dyDescent="0.25">
      <c r="A30">
        <v>2012</v>
      </c>
      <c r="B30" s="24">
        <v>92</v>
      </c>
      <c r="C30" s="24">
        <v>93</v>
      </c>
      <c r="D30" s="24">
        <v>53</v>
      </c>
      <c r="E30" s="24">
        <v>100</v>
      </c>
      <c r="F30" s="24">
        <v>64</v>
      </c>
      <c r="G30" s="24">
        <v>115</v>
      </c>
      <c r="H30" s="24">
        <v>78</v>
      </c>
      <c r="I30" s="24">
        <v>61</v>
      </c>
      <c r="J30" s="24">
        <v>87</v>
      </c>
      <c r="K30" s="24">
        <v>56</v>
      </c>
      <c r="L30" s="24">
        <v>124</v>
      </c>
      <c r="M30" s="24">
        <v>73</v>
      </c>
      <c r="N30" s="24">
        <v>132</v>
      </c>
      <c r="O30" s="24">
        <v>91</v>
      </c>
      <c r="P30" s="24">
        <v>63</v>
      </c>
      <c r="Q30" s="24" t="s">
        <v>63</v>
      </c>
      <c r="R30" s="24">
        <v>86</v>
      </c>
      <c r="S30" s="24">
        <v>69</v>
      </c>
      <c r="T30" s="24">
        <v>107</v>
      </c>
      <c r="U30" s="24">
        <v>97</v>
      </c>
      <c r="V30" s="24">
        <v>104</v>
      </c>
      <c r="W30" s="24">
        <v>97</v>
      </c>
      <c r="X30" s="24">
        <v>67</v>
      </c>
      <c r="Y30" s="24">
        <v>49</v>
      </c>
      <c r="Z30" s="24">
        <v>92</v>
      </c>
      <c r="AA30" s="24">
        <v>56</v>
      </c>
      <c r="AB30" s="24">
        <v>97</v>
      </c>
      <c r="AC30" s="24">
        <v>97</v>
      </c>
      <c r="AD30" s="24">
        <v>132</v>
      </c>
    </row>
    <row r="31" spans="1:30" x14ac:dyDescent="0.25">
      <c r="A31">
        <v>2013</v>
      </c>
      <c r="B31" s="24">
        <v>142</v>
      </c>
      <c r="C31" s="24">
        <v>131</v>
      </c>
      <c r="D31" s="24">
        <v>63</v>
      </c>
      <c r="E31" s="24">
        <v>116</v>
      </c>
      <c r="F31" s="24">
        <v>69</v>
      </c>
      <c r="G31" s="24">
        <v>153</v>
      </c>
      <c r="H31" s="24">
        <v>75</v>
      </c>
      <c r="I31" s="24">
        <v>53</v>
      </c>
      <c r="J31" s="24">
        <v>97</v>
      </c>
      <c r="K31" s="24">
        <v>58</v>
      </c>
      <c r="L31" s="24">
        <v>163</v>
      </c>
      <c r="M31" s="24">
        <v>107</v>
      </c>
      <c r="N31" s="24">
        <v>180</v>
      </c>
      <c r="O31" s="24">
        <v>120</v>
      </c>
      <c r="P31" s="24">
        <v>74</v>
      </c>
      <c r="Q31" s="24" t="s">
        <v>63</v>
      </c>
      <c r="R31" s="24">
        <v>127</v>
      </c>
      <c r="S31" s="24">
        <v>97</v>
      </c>
      <c r="T31" s="24">
        <v>140</v>
      </c>
      <c r="U31" s="24">
        <v>124</v>
      </c>
      <c r="V31" s="24">
        <v>125</v>
      </c>
      <c r="W31" s="24">
        <v>134</v>
      </c>
      <c r="X31" s="24">
        <v>78</v>
      </c>
      <c r="Y31" s="24">
        <v>57</v>
      </c>
      <c r="Z31" s="24">
        <v>126</v>
      </c>
      <c r="AA31" s="24">
        <v>64</v>
      </c>
      <c r="AB31" s="24">
        <v>135</v>
      </c>
      <c r="AC31" s="24">
        <v>147</v>
      </c>
      <c r="AD31" s="24">
        <v>163</v>
      </c>
    </row>
    <row r="32" spans="1:30" x14ac:dyDescent="0.25">
      <c r="A32">
        <v>2014</v>
      </c>
      <c r="B32" s="24">
        <v>146</v>
      </c>
      <c r="C32" s="24">
        <v>131</v>
      </c>
      <c r="D32" s="24">
        <v>69</v>
      </c>
      <c r="E32" s="24">
        <v>141</v>
      </c>
      <c r="F32" s="24">
        <v>82</v>
      </c>
      <c r="G32" s="24">
        <v>171</v>
      </c>
      <c r="H32" s="24">
        <v>101</v>
      </c>
      <c r="I32" s="24">
        <v>70</v>
      </c>
      <c r="J32" s="24">
        <v>105</v>
      </c>
      <c r="K32" s="24">
        <v>67</v>
      </c>
      <c r="L32" s="24">
        <v>173</v>
      </c>
      <c r="M32" s="24">
        <v>95</v>
      </c>
      <c r="N32" s="24">
        <v>192</v>
      </c>
      <c r="O32" s="24">
        <v>127</v>
      </c>
      <c r="P32" s="24">
        <v>83</v>
      </c>
      <c r="Q32" s="24">
        <v>96</v>
      </c>
      <c r="R32" s="24">
        <v>138</v>
      </c>
      <c r="S32" s="24">
        <v>100</v>
      </c>
      <c r="T32" s="24">
        <v>164</v>
      </c>
      <c r="U32" s="24">
        <v>142</v>
      </c>
      <c r="V32" s="24">
        <v>152</v>
      </c>
      <c r="W32" s="24">
        <v>138</v>
      </c>
      <c r="X32" s="24">
        <v>84</v>
      </c>
      <c r="Y32" s="24">
        <v>64</v>
      </c>
      <c r="Z32" s="24">
        <v>136</v>
      </c>
      <c r="AA32" s="24">
        <v>74</v>
      </c>
      <c r="AB32" s="24">
        <v>141</v>
      </c>
      <c r="AC32" s="24">
        <v>148</v>
      </c>
      <c r="AD32" s="24">
        <v>182</v>
      </c>
    </row>
    <row r="33" spans="1:30" x14ac:dyDescent="0.25">
      <c r="A33">
        <v>2015</v>
      </c>
      <c r="B33" s="24">
        <v>110</v>
      </c>
      <c r="C33" s="24">
        <v>106</v>
      </c>
      <c r="D33" s="24">
        <v>43</v>
      </c>
      <c r="E33" s="24">
        <v>114</v>
      </c>
      <c r="F33" s="24">
        <v>53</v>
      </c>
      <c r="G33" s="24">
        <v>141</v>
      </c>
      <c r="H33" s="24">
        <v>64</v>
      </c>
      <c r="I33" s="24">
        <v>48</v>
      </c>
      <c r="J33" s="24">
        <v>87</v>
      </c>
      <c r="K33" s="24">
        <v>39</v>
      </c>
      <c r="L33" s="24">
        <v>134</v>
      </c>
      <c r="M33" s="24">
        <v>99</v>
      </c>
      <c r="N33" s="24">
        <v>138</v>
      </c>
      <c r="O33" s="24">
        <v>91</v>
      </c>
      <c r="P33" s="24">
        <v>68</v>
      </c>
      <c r="Q33" s="24">
        <v>82</v>
      </c>
      <c r="R33" s="24">
        <v>100</v>
      </c>
      <c r="S33" s="24">
        <v>70</v>
      </c>
      <c r="T33" s="24">
        <v>120</v>
      </c>
      <c r="U33" s="24">
        <v>96</v>
      </c>
      <c r="V33" s="24">
        <v>126</v>
      </c>
      <c r="W33" s="24">
        <v>116</v>
      </c>
      <c r="X33" s="24">
        <v>55</v>
      </c>
      <c r="Y33" s="24">
        <v>51</v>
      </c>
      <c r="Z33" s="24">
        <v>113</v>
      </c>
      <c r="AA33" s="24">
        <v>51</v>
      </c>
      <c r="AB33" s="24">
        <v>121</v>
      </c>
      <c r="AC33" s="24">
        <v>126</v>
      </c>
      <c r="AD33" s="24">
        <v>133</v>
      </c>
    </row>
    <row r="34" spans="1:30" x14ac:dyDescent="0.25">
      <c r="A34">
        <v>2016</v>
      </c>
      <c r="B34" s="24">
        <v>105</v>
      </c>
      <c r="C34" s="24">
        <v>108</v>
      </c>
      <c r="D34" s="24">
        <v>56</v>
      </c>
      <c r="E34" s="24">
        <v>97</v>
      </c>
      <c r="F34" s="24">
        <v>64</v>
      </c>
      <c r="G34" s="24">
        <v>126</v>
      </c>
      <c r="H34" s="24">
        <v>75</v>
      </c>
      <c r="I34" s="24">
        <v>57</v>
      </c>
      <c r="J34" s="24">
        <v>104</v>
      </c>
      <c r="K34" s="24">
        <v>47</v>
      </c>
      <c r="L34" s="24">
        <v>129</v>
      </c>
      <c r="M34" s="24">
        <v>84</v>
      </c>
      <c r="N34" s="24">
        <v>146</v>
      </c>
      <c r="O34" s="24">
        <v>104</v>
      </c>
      <c r="P34" s="24">
        <v>78</v>
      </c>
      <c r="Q34" s="24">
        <v>83</v>
      </c>
      <c r="R34" s="24">
        <v>102</v>
      </c>
      <c r="S34" s="24">
        <v>80</v>
      </c>
      <c r="T34" s="24">
        <v>133</v>
      </c>
      <c r="U34" s="24">
        <v>108</v>
      </c>
      <c r="V34" s="24">
        <v>117</v>
      </c>
      <c r="W34" s="24">
        <v>119</v>
      </c>
      <c r="X34" s="24">
        <v>70</v>
      </c>
      <c r="Y34" s="24">
        <v>50</v>
      </c>
      <c r="Z34" s="24">
        <v>122</v>
      </c>
      <c r="AA34" s="24">
        <v>58</v>
      </c>
      <c r="AB34" s="24">
        <v>101</v>
      </c>
      <c r="AC34" s="24">
        <v>106</v>
      </c>
      <c r="AD34" s="24">
        <v>158</v>
      </c>
    </row>
    <row r="35" spans="1:30" x14ac:dyDescent="0.25">
      <c r="A35">
        <v>2017</v>
      </c>
      <c r="B35" s="24">
        <v>96</v>
      </c>
      <c r="C35" s="24">
        <v>95</v>
      </c>
      <c r="D35" s="24">
        <v>43</v>
      </c>
      <c r="E35" s="24">
        <v>94</v>
      </c>
      <c r="F35" s="24">
        <v>46</v>
      </c>
      <c r="G35" s="24">
        <v>110</v>
      </c>
      <c r="H35" s="24">
        <v>51</v>
      </c>
      <c r="I35" s="24">
        <v>35</v>
      </c>
      <c r="J35" s="24">
        <v>70</v>
      </c>
      <c r="K35" s="24">
        <v>40</v>
      </c>
      <c r="L35" s="24">
        <v>106</v>
      </c>
      <c r="M35" s="24">
        <v>78</v>
      </c>
      <c r="N35" s="24">
        <v>117</v>
      </c>
      <c r="O35" s="24">
        <v>87</v>
      </c>
      <c r="P35" s="24">
        <v>53</v>
      </c>
      <c r="Q35" s="24">
        <v>65</v>
      </c>
      <c r="R35" s="24">
        <v>92</v>
      </c>
      <c r="S35" s="24">
        <v>74</v>
      </c>
      <c r="T35" s="24">
        <v>104</v>
      </c>
      <c r="U35" s="24">
        <v>85</v>
      </c>
      <c r="V35" s="24">
        <v>95</v>
      </c>
      <c r="W35" s="24">
        <v>114</v>
      </c>
      <c r="X35" s="24">
        <v>41</v>
      </c>
      <c r="Y35" s="24">
        <v>39</v>
      </c>
      <c r="Z35" s="24">
        <v>88</v>
      </c>
      <c r="AA35" s="24">
        <v>40</v>
      </c>
      <c r="AB35" s="24">
        <v>90</v>
      </c>
      <c r="AC35" s="24">
        <v>104</v>
      </c>
      <c r="AD35" s="24">
        <v>121</v>
      </c>
    </row>
    <row r="36" spans="1:30" s="26" customFormat="1" x14ac:dyDescent="0.25">
      <c r="A36" s="26" t="s">
        <v>60</v>
      </c>
      <c r="B36" s="27">
        <f>AVERAGE(B22:B35)</f>
        <v>113.57142857142857</v>
      </c>
      <c r="C36" s="27">
        <f t="shared" ref="C36:D36" si="3">AVERAGE(C22:C35)</f>
        <v>116.21428571428571</v>
      </c>
      <c r="D36" s="27">
        <f t="shared" si="3"/>
        <v>58.071428571428569</v>
      </c>
      <c r="E36" s="27">
        <f t="shared" ref="E36:AD36" si="4">AVERAGE(E22:E35)</f>
        <v>112.07142857142857</v>
      </c>
      <c r="F36" s="27">
        <f t="shared" si="4"/>
        <v>66.071428571428569</v>
      </c>
      <c r="G36" s="27">
        <f t="shared" si="4"/>
        <v>134.5</v>
      </c>
      <c r="H36" s="27">
        <f t="shared" si="4"/>
        <v>79.785714285714292</v>
      </c>
      <c r="I36" s="27">
        <f t="shared" si="4"/>
        <v>59</v>
      </c>
      <c r="J36" s="27">
        <f t="shared" si="4"/>
        <v>81.714285714285708</v>
      </c>
      <c r="K36" s="27">
        <f t="shared" si="4"/>
        <v>54.714285714285715</v>
      </c>
      <c r="L36" s="27">
        <f t="shared" si="4"/>
        <v>141.92857142857142</v>
      </c>
      <c r="M36" s="27">
        <f t="shared" si="4"/>
        <v>95.428571428571431</v>
      </c>
      <c r="N36" s="27">
        <f t="shared" si="4"/>
        <v>153.85714285714286</v>
      </c>
      <c r="O36" s="27">
        <f t="shared" si="4"/>
        <v>105.5</v>
      </c>
      <c r="P36" s="27">
        <f t="shared" si="4"/>
        <v>73.857142857142861</v>
      </c>
      <c r="Q36" s="27">
        <f t="shared" si="4"/>
        <v>85.916666666666671</v>
      </c>
      <c r="R36" s="27">
        <f t="shared" si="4"/>
        <v>105.5</v>
      </c>
      <c r="S36" s="27">
        <f t="shared" si="4"/>
        <v>80.142857142857139</v>
      </c>
      <c r="T36" s="27">
        <f t="shared" si="4"/>
        <v>120.28571428571429</v>
      </c>
      <c r="U36" s="27">
        <f t="shared" si="4"/>
        <v>105.61538461538461</v>
      </c>
      <c r="V36" s="27">
        <f t="shared" si="4"/>
        <v>121.14285714285714</v>
      </c>
      <c r="W36" s="27">
        <f t="shared" si="4"/>
        <v>122.14285714285714</v>
      </c>
      <c r="X36" s="27">
        <f t="shared" si="4"/>
        <v>74.357142857142861</v>
      </c>
      <c r="Y36" s="27">
        <f t="shared" si="4"/>
        <v>55.428571428571431</v>
      </c>
      <c r="Z36" s="27">
        <f t="shared" si="4"/>
        <v>111.42857142857143</v>
      </c>
      <c r="AA36" s="27">
        <f t="shared" si="4"/>
        <v>57.142857142857146</v>
      </c>
      <c r="AB36" s="27">
        <f t="shared" si="4"/>
        <v>123.71428571428571</v>
      </c>
      <c r="AC36" s="27">
        <f t="shared" si="4"/>
        <v>122.28571428571429</v>
      </c>
      <c r="AD36" s="27">
        <f t="shared" si="4"/>
        <v>143.07142857142858</v>
      </c>
    </row>
    <row r="37" spans="1:30" s="26" customFormat="1" x14ac:dyDescent="0.25">
      <c r="A37" s="26" t="s">
        <v>27</v>
      </c>
      <c r="B37" s="27">
        <f>_xlfn.STDEV.P(B22:B35)</f>
        <v>16.378183597676017</v>
      </c>
      <c r="C37" s="27">
        <f>_xlfn.STDEV.P(C22:C35)</f>
        <v>14.077228681347005</v>
      </c>
      <c r="D37" s="27">
        <f t="shared" ref="D37" si="5">_xlfn.STDEV.P(D22:D35)</f>
        <v>10.839506352190753</v>
      </c>
      <c r="E37" s="27">
        <f t="shared" ref="E37:AD37" si="6">_xlfn.STDEV.P(E22:E35)</f>
        <v>13.987056699035749</v>
      </c>
      <c r="F37" s="27">
        <f t="shared" si="6"/>
        <v>11.658622105024037</v>
      </c>
      <c r="G37" s="27">
        <f t="shared" si="6"/>
        <v>17.282319619442625</v>
      </c>
      <c r="H37" s="27">
        <f t="shared" si="6"/>
        <v>16.103143310850708</v>
      </c>
      <c r="I37" s="27">
        <f t="shared" si="6"/>
        <v>12.077133056199342</v>
      </c>
      <c r="J37" s="27">
        <f t="shared" si="6"/>
        <v>14.640592159318905</v>
      </c>
      <c r="K37" s="27">
        <f t="shared" si="6"/>
        <v>10.733316432149621</v>
      </c>
      <c r="L37" s="27">
        <f t="shared" si="6"/>
        <v>17.367721643958969</v>
      </c>
      <c r="M37" s="27">
        <f t="shared" si="6"/>
        <v>12.465462490499132</v>
      </c>
      <c r="N37" s="27">
        <f t="shared" si="6"/>
        <v>22.84687269270643</v>
      </c>
      <c r="O37" s="27">
        <f t="shared" si="6"/>
        <v>14.681134638906977</v>
      </c>
      <c r="P37" s="27">
        <f t="shared" si="6"/>
        <v>11.519282857496833</v>
      </c>
      <c r="Q37" s="27">
        <f t="shared" si="6"/>
        <v>13.683678436573826</v>
      </c>
      <c r="R37" s="27">
        <f t="shared" si="6"/>
        <v>16.616472034013203</v>
      </c>
      <c r="S37" s="27">
        <f t="shared" si="6"/>
        <v>12.052605781425401</v>
      </c>
      <c r="T37" s="27">
        <f t="shared" si="6"/>
        <v>18.191161792115938</v>
      </c>
      <c r="U37" s="27">
        <f t="shared" si="6"/>
        <v>16.231680616045331</v>
      </c>
      <c r="V37" s="27">
        <f t="shared" si="6"/>
        <v>13.700141515729698</v>
      </c>
      <c r="W37" s="27">
        <f t="shared" si="6"/>
        <v>11.531677754634611</v>
      </c>
      <c r="X37" s="27">
        <f t="shared" si="6"/>
        <v>15.60955358955874</v>
      </c>
      <c r="Y37" s="27">
        <f t="shared" si="6"/>
        <v>10.761799409513831</v>
      </c>
      <c r="Z37" s="27">
        <f t="shared" si="6"/>
        <v>15.773912847819727</v>
      </c>
      <c r="AA37" s="27">
        <f t="shared" si="6"/>
        <v>11.728214715299309</v>
      </c>
      <c r="AB37" s="27">
        <f t="shared" si="6"/>
        <v>18.751870654983318</v>
      </c>
      <c r="AC37" s="27">
        <f t="shared" si="6"/>
        <v>17.412756290508778</v>
      </c>
      <c r="AD37" s="27">
        <f t="shared" si="6"/>
        <v>19.713897511705817</v>
      </c>
    </row>
    <row r="39" spans="1:30" x14ac:dyDescent="0.25">
      <c r="B39" s="5"/>
    </row>
    <row r="40" spans="1:30" x14ac:dyDescent="0.25">
      <c r="B40" s="5"/>
    </row>
    <row r="41" spans="1:30" x14ac:dyDescent="0.25">
      <c r="B41" s="5"/>
    </row>
    <row r="42" spans="1:30" x14ac:dyDescent="0.25">
      <c r="B42" s="5"/>
    </row>
    <row r="43" spans="1:30" x14ac:dyDescent="0.25">
      <c r="B43" s="5"/>
    </row>
    <row r="44" spans="1:30" x14ac:dyDescent="0.25">
      <c r="B44" s="5"/>
    </row>
    <row r="45" spans="1:30" x14ac:dyDescent="0.25">
      <c r="B45" s="5"/>
    </row>
    <row r="46" spans="1:30" x14ac:dyDescent="0.25">
      <c r="B46" s="5"/>
    </row>
    <row r="47" spans="1:30" x14ac:dyDescent="0.25">
      <c r="B47" s="5"/>
    </row>
    <row r="48" spans="1:30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D7E059-BD1F-4663-8005-F96F7821D8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MjesecneTemp</vt:lpstr>
      <vt:lpstr>MjesecneObo</vt:lpstr>
      <vt:lpstr>Bjelovar</vt:lpstr>
      <vt:lpstr>Daruvar</vt:lpstr>
      <vt:lpstr>Dubrovnik</vt:lpstr>
      <vt:lpstr>Gospić</vt:lpstr>
      <vt:lpstr>Hvar</vt:lpstr>
      <vt:lpstr>Karlovac</vt:lpstr>
      <vt:lpstr>Knin</vt:lpstr>
      <vt:lpstr>Komiža</vt:lpstr>
      <vt:lpstr>Makarska</vt:lpstr>
      <vt:lpstr>Mali Lošinj</vt:lpstr>
      <vt:lpstr>Ogulin</vt:lpstr>
      <vt:lpstr>Osijek</vt:lpstr>
      <vt:lpstr>Parg</vt:lpstr>
      <vt:lpstr>Pazin</vt:lpstr>
      <vt:lpstr>Ploče</vt:lpstr>
      <vt:lpstr>Pula</vt:lpstr>
      <vt:lpstr>Puntijarka</vt:lpstr>
      <vt:lpstr>Rab</vt:lpstr>
      <vt:lpstr>Rijeka</vt:lpstr>
      <vt:lpstr>Senj</vt:lpstr>
      <vt:lpstr>Sisak</vt:lpstr>
      <vt:lpstr>Slavonski Brod</vt:lpstr>
      <vt:lpstr>Split</vt:lpstr>
      <vt:lpstr>Šibenik</vt:lpstr>
      <vt:lpstr>Varaždin</vt:lpstr>
      <vt:lpstr>Zadar</vt:lpstr>
      <vt:lpstr>Zagreb Grič</vt:lpstr>
      <vt:lpstr>Zagreb Maksimir</vt:lpstr>
      <vt:lpstr>Zavižan</vt:lpstr>
      <vt:lpstr>Snijeg</vt:lpstr>
      <vt:lpstr>Relativna vlažnost</vt:lpstr>
      <vt:lpstr>Naoblaka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tomislavh</dc:creator>
  <cp:lastModifiedBy>Tomislav Harambašić- Dvokut ECRO</cp:lastModifiedBy>
  <dcterms:created xsi:type="dcterms:W3CDTF">2015-06-05T18:17:20Z</dcterms:created>
  <dcterms:modified xsi:type="dcterms:W3CDTF">2025-05-07T08:30:10Z</dcterms:modified>
</cp:coreProperties>
</file>